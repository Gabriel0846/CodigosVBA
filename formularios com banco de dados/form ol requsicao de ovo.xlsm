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erminal17\Documents\GitHub\CodigosVBA\formularios com banco de dados\"/>
    </mc:Choice>
  </mc:AlternateContent>
  <bookViews>
    <workbookView xWindow="-120" yWindow="-120" windowWidth="20640" windowHeight="11160" activeTab="1"/>
  </bookViews>
  <sheets>
    <sheet name="IMPRESSÃO" sheetId="5" r:id="rId1"/>
    <sheet name="LANÇAMENTOS" sheetId="1" r:id="rId2"/>
    <sheet name="BD" sheetId="2" r:id="rId3"/>
    <sheet name="DADOS" sheetId="6" r:id="rId4"/>
  </sheets>
  <functionGroups builtInGroupCount="18"/>
  <definedNames>
    <definedName name="_xlnm._FilterDatabase" localSheetId="2" hidden="1">BD!$A$1:$AJ$1</definedName>
    <definedName name="_xlnm.Print_Area" localSheetId="1">LANÇAMENTOS!$A$1:$H$26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T2" i="1"/>
  <c r="AU2" i="1" l="1"/>
  <c r="C2" i="6" l="1"/>
  <c r="G27" i="5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AV4" i="1" s="1"/>
  <c r="M2" i="1"/>
  <c r="AU4" i="1" l="1"/>
  <c r="AT4" i="1"/>
  <c r="AN4" i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<sst xmlns="http://schemas.openxmlformats.org/spreadsheetml/2006/main" count="366" uniqueCount="57">
  <si>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</si>
  <si>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</si>
  <si>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</si>
  <si>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</si>
  <si>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</si>
  <si>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</si>
  <si>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</si>
  <si>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</si>
  <si>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</si>
  <si>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</si>
  <si>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</si>
  <si>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</si>
  <si>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</si>
  <si>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</si>
  <si>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</si>
  <si>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</si>
  <si>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</si>
  <si>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</si>
  <si>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</si>
  <si>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</si>
  <si>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</si>
  <si>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</si>
  <si>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</si>
  <si>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</si>
  <si>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</si>
  <si>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</si>
  <si>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</si>
  <si>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</si>
  <si>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</si>
  <si>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</si>
  <si>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</si>
  <si>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</si>
  <si>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</si>
  <si>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</si>
  <si>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>VISTOS</t>
  </si>
  <si>
    <t>USUARIO</t>
  </si>
  <si>
    <t>CODIGO</t>
  </si>
  <si>
    <t>LANÇAR</t>
  </si>
  <si>
    <t>ATUALZAR</t>
  </si>
  <si>
    <t>SIGLA</t>
  </si>
  <si>
    <t>GB</t>
  </si>
  <si>
    <t>MI</t>
  </si>
  <si>
    <t>RA</t>
  </si>
  <si>
    <t>DN</t>
  </si>
  <si>
    <t>SENHA</t>
  </si>
  <si>
    <t/>
  </si>
  <si>
    <t>LANÇADO POR =</t>
  </si>
  <si>
    <t>ULTIMA MODIFICAÇÃO=</t>
  </si>
  <si>
    <t>MODIFICADO POR=</t>
  </si>
  <si>
    <t>LANÇADO POR</t>
  </si>
  <si>
    <t>ULTIMA MODIFICAÇÃO</t>
  </si>
  <si>
    <t>MODIFICADO POR</t>
  </si>
  <si>
    <t>USUARIO LOGADO</t>
  </si>
  <si>
    <t>GABRIEL</t>
  </si>
  <si>
    <t>MIGUEL</t>
  </si>
  <si>
    <t>RAFAEL</t>
  </si>
  <si>
    <t>DANIEL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</si>
</sst>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4" fontId="0" fillId="0" borderId="0" xfId="0" applyNumberFormat="1" applyBorder="1" applyAlignment="1"/>
    <xf numFmtId="0" fontId="0" fillId="0" borderId="0" xfId="0" applyBorder="1"/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Border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30" xfId="0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30" xfId="0" applyBorder="1" applyAlignment="1">
      <alignment horizontal="center" vertical="center"/>
    </xf>
    <xf numFmtId="22" fontId="0" fillId="0" borderId="30" xfId="0" applyNumberFormat="1" applyBorder="1" applyAlignment="1">
      <alignment horizontal="center" vertical="center"/>
    </xf>
    <xf numFmtId="0" fontId="0" fillId="0" borderId="17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15" xfId="0" applyNumberFormat="1" applyFont="1" applyBorder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" textlink="">
      <xdr:nvSpPr>
        <xdr:cNvPr id="2" name="Multiplicar 1"/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/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/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/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51"/>
  <sheetViews>
    <sheetView showGridLines="0" zoomScaleNormal="100" workbookViewId="0">
      <selection activeCell="B24" sqref="B24"/>
    </sheetView>
  </sheetViews>
  <sheetFormatPr defaultRowHeight="14.25" x14ac:dyDescent="0.2"/>
  <cols>
    <col min="1" max="1" width="18.25" style="32" customWidth="1"/>
    <col min="2" max="7" width="11" style="32" customWidth="1"/>
    <col min="8" max="16384" width="9" style="32"/>
  </cols>
  <sheetData>
    <row r="1" spans="1:9" ht="14.25" customHeight="1" x14ac:dyDescent="0.2">
      <c r="A1" s="73" t="s">
        <v>0</v>
      </c>
      <c r="B1" s="74"/>
      <c r="C1" s="74"/>
      <c r="D1" s="74"/>
      <c r="E1" s="74"/>
      <c r="F1" s="74"/>
      <c r="G1" s="77">
        <v>1</v>
      </c>
      <c r="H1" s="35"/>
      <c r="I1" s="35"/>
    </row>
    <row r="2" spans="1:9" ht="14.25" customHeight="1" x14ac:dyDescent="0.2">
      <c r="A2" s="75"/>
      <c r="B2" s="76"/>
      <c r="C2" s="76"/>
      <c r="D2" s="76"/>
      <c r="E2" s="76"/>
      <c r="F2" s="76"/>
      <c r="G2" s="78"/>
      <c r="H2" s="35"/>
      <c r="I2" s="35"/>
    </row>
    <row r="3" spans="1:9" ht="14.25" customHeight="1" x14ac:dyDescent="0.2">
      <c r="A3" s="36"/>
      <c r="B3" s="37"/>
      <c r="C3" s="37"/>
      <c r="D3" s="37"/>
      <c r="E3" s="37"/>
      <c r="F3" s="37"/>
      <c r="G3" s="38"/>
      <c r="H3" s="35"/>
      <c r="I3" s="35"/>
    </row>
    <row r="4" spans="1:9" ht="14.25" customHeight="1" x14ac:dyDescent="0.2">
      <c r="A4" s="36"/>
      <c r="B4" s="37"/>
      <c r="C4" s="37"/>
      <c r="D4" s="37"/>
      <c r="E4" s="37"/>
      <c r="F4" s="37"/>
      <c r="G4" s="38"/>
      <c r="H4" s="35"/>
      <c r="I4" s="35"/>
    </row>
    <row r="5" spans="1:9" ht="15" x14ac:dyDescent="0.25">
      <c r="A5" s="39" t="s">
        <v>8</v>
      </c>
      <c r="B5" s="79"/>
      <c r="C5" s="79"/>
      <c r="D5" s="79"/>
      <c r="E5" s="79"/>
      <c r="G5" s="40"/>
    </row>
    <row r="6" spans="1:9" ht="15" x14ac:dyDescent="0.25">
      <c r="A6" s="39" t="s">
        <v>1</v>
      </c>
      <c r="B6" s="71"/>
      <c r="C6" s="71"/>
      <c r="D6" s="71"/>
      <c r="E6" s="71"/>
      <c r="G6" s="40"/>
    </row>
    <row r="7" spans="1:9" ht="15" x14ac:dyDescent="0.25">
      <c r="A7" s="39" t="s">
        <v>7</v>
      </c>
      <c r="B7" s="71"/>
      <c r="C7" s="71"/>
      <c r="D7" s="71"/>
      <c r="E7" s="71"/>
      <c r="G7" s="40"/>
    </row>
    <row r="8" spans="1:9" x14ac:dyDescent="0.2">
      <c r="A8" s="41"/>
      <c r="B8" s="33"/>
      <c r="G8" s="40"/>
    </row>
    <row r="9" spans="1:9" x14ac:dyDescent="0.2">
      <c r="A9" s="41"/>
      <c r="G9" s="40"/>
    </row>
    <row r="10" spans="1:9" ht="15" x14ac:dyDescent="0.25">
      <c r="A10" s="80" t="s">
        <v>9</v>
      </c>
      <c r="B10" s="81"/>
      <c r="C10" s="81"/>
      <c r="D10" s="81"/>
      <c r="E10" s="81"/>
      <c r="F10" s="81"/>
      <c r="G10" s="82"/>
    </row>
    <row r="11" spans="1:9" ht="15" x14ac:dyDescent="0.25">
      <c r="A11" s="41"/>
      <c r="E11" s="42" t="s">
        <v>4</v>
      </c>
      <c r="F11" s="42" t="s">
        <v>3</v>
      </c>
      <c r="G11" s="40"/>
    </row>
    <row r="12" spans="1:9" ht="15" x14ac:dyDescent="0.25">
      <c r="A12" s="43" t="s">
        <v>10</v>
      </c>
      <c r="B12" s="83"/>
      <c r="C12" s="83"/>
      <c r="D12" s="83"/>
      <c r="E12" s="44"/>
      <c r="F12" s="45"/>
      <c r="G12" s="40"/>
    </row>
    <row r="13" spans="1:9" ht="15" x14ac:dyDescent="0.25">
      <c r="A13" s="43" t="s">
        <v>11</v>
      </c>
      <c r="B13" s="83"/>
      <c r="C13" s="83"/>
      <c r="D13" s="83"/>
      <c r="E13" s="44"/>
      <c r="F13" s="45"/>
      <c r="G13" s="40"/>
    </row>
    <row r="14" spans="1:9" ht="15" x14ac:dyDescent="0.25">
      <c r="A14" s="43"/>
      <c r="B14" s="46"/>
      <c r="C14" s="46"/>
      <c r="D14" s="46"/>
      <c r="E14" s="47"/>
      <c r="F14" s="48"/>
      <c r="G14" s="40"/>
    </row>
    <row r="15" spans="1:9" ht="15" x14ac:dyDescent="0.25">
      <c r="A15" s="43"/>
      <c r="B15" s="49"/>
      <c r="C15" s="49"/>
      <c r="D15" s="49"/>
      <c r="E15" s="50"/>
      <c r="F15" s="50"/>
      <c r="G15" s="40"/>
    </row>
    <row r="16" spans="1:9" x14ac:dyDescent="0.2">
      <c r="A16" s="51"/>
      <c r="G16" s="40"/>
    </row>
    <row r="17" spans="1:8" x14ac:dyDescent="0.2">
      <c r="A17" s="41"/>
      <c r="G17" s="40"/>
    </row>
    <row r="18" spans="1:8" x14ac:dyDescent="0.2">
      <c r="A18" s="84"/>
      <c r="B18" s="85"/>
      <c r="C18" s="85"/>
      <c r="D18" s="85"/>
      <c r="E18" s="85"/>
      <c r="F18" s="85"/>
      <c r="G18" s="86"/>
    </row>
    <row r="19" spans="1:8" ht="15" x14ac:dyDescent="0.25">
      <c r="A19" s="39" t="s">
        <v>12</v>
      </c>
      <c r="B19" s="87"/>
      <c r="C19" s="87"/>
      <c r="D19" s="87"/>
      <c r="E19" s="87"/>
      <c r="F19" s="87"/>
      <c r="G19" s="88"/>
    </row>
    <row r="20" spans="1:8" x14ac:dyDescent="0.2">
      <c r="A20" s="41"/>
      <c r="B20" s="71"/>
      <c r="C20" s="71"/>
      <c r="D20" s="71"/>
      <c r="E20" s="71"/>
      <c r="F20" s="71"/>
      <c r="G20" s="72"/>
    </row>
    <row r="21" spans="1:8" x14ac:dyDescent="0.2">
      <c r="A21" s="41"/>
      <c r="B21" s="71"/>
      <c r="C21" s="71"/>
      <c r="D21" s="71"/>
      <c r="E21" s="71"/>
      <c r="F21" s="71"/>
      <c r="G21" s="72"/>
    </row>
    <row r="22" spans="1:8" ht="15.75" x14ac:dyDescent="0.25">
      <c r="A22" s="41"/>
      <c r="B22" s="52"/>
      <c r="C22" s="52"/>
      <c r="D22" s="52"/>
      <c r="E22" s="52"/>
      <c r="F22" s="53"/>
      <c r="G22" s="54"/>
    </row>
    <row r="23" spans="1:8" ht="15" x14ac:dyDescent="0.25">
      <c r="A23" s="55"/>
      <c r="B23" s="56"/>
      <c r="C23" s="56"/>
      <c r="D23" s="56"/>
      <c r="E23" s="56"/>
      <c r="G23" s="40"/>
    </row>
    <row r="24" spans="1:8" ht="14.25" customHeight="1" x14ac:dyDescent="0.25">
      <c r="A24" s="41" t="s">
        <v>34</v>
      </c>
      <c r="C24" s="42" t="s">
        <v>2</v>
      </c>
      <c r="D24" s="42" t="s">
        <v>5</v>
      </c>
      <c r="E24" s="42" t="s">
        <v>6</v>
      </c>
      <c r="F24" s="42" t="s">
        <v>13</v>
      </c>
      <c r="G24" s="40"/>
      <c r="H24" s="37"/>
    </row>
    <row r="25" spans="1:8" ht="14.25" customHeight="1" x14ac:dyDescent="0.2">
      <c r="A25" s="41"/>
      <c r="G25" s="40"/>
      <c r="H25" s="37"/>
    </row>
    <row r="26" spans="1:8" ht="15.75" thickBot="1" x14ac:dyDescent="0.25">
      <c r="A26" s="57"/>
      <c r="B26" s="58"/>
      <c r="C26" s="58"/>
      <c r="D26" s="58"/>
      <c r="E26" s="58"/>
      <c r="F26" s="58"/>
      <c r="G26" s="59"/>
    </row>
    <row r="27" spans="1:8" ht="14.25" customHeight="1" x14ac:dyDescent="0.2">
      <c r="A27" s="73" t="s">
        <v>0</v>
      </c>
      <c r="B27" s="74"/>
      <c r="C27" s="74"/>
      <c r="D27" s="74"/>
      <c r="E27" s="74"/>
      <c r="F27" s="89"/>
      <c r="G27" s="91">
        <f>G1</f>
        <v>1</v>
      </c>
    </row>
    <row r="28" spans="1:8" ht="14.25" customHeight="1" x14ac:dyDescent="0.2">
      <c r="A28" s="75"/>
      <c r="B28" s="76"/>
      <c r="C28" s="76"/>
      <c r="D28" s="76"/>
      <c r="E28" s="76"/>
      <c r="F28" s="90"/>
      <c r="G28" s="92"/>
    </row>
    <row r="29" spans="1:8" ht="15" x14ac:dyDescent="0.2">
      <c r="A29" s="36"/>
      <c r="B29" s="37"/>
      <c r="C29" s="37"/>
      <c r="D29" s="37"/>
      <c r="E29" s="37"/>
      <c r="F29" s="37"/>
      <c r="G29" s="38"/>
    </row>
    <row r="30" spans="1:8" ht="15" x14ac:dyDescent="0.2">
      <c r="A30" s="36"/>
      <c r="B30" s="37"/>
      <c r="C30" s="37"/>
      <c r="D30" s="37"/>
      <c r="E30" s="37"/>
      <c r="F30" s="37"/>
      <c r="G30" s="38"/>
    </row>
    <row r="31" spans="1:8" ht="15" x14ac:dyDescent="0.25">
      <c r="A31" s="39" t="s">
        <v>8</v>
      </c>
      <c r="B31" s="79"/>
      <c r="C31" s="79"/>
      <c r="D31" s="79"/>
      <c r="G31" s="40"/>
    </row>
    <row r="32" spans="1:8" ht="15" x14ac:dyDescent="0.25">
      <c r="A32" s="39" t="s">
        <v>1</v>
      </c>
      <c r="B32" s="71"/>
      <c r="C32" s="71"/>
      <c r="D32" s="71"/>
      <c r="G32" s="40"/>
    </row>
    <row r="33" spans="1:7" ht="15" x14ac:dyDescent="0.25">
      <c r="A33" s="39" t="s">
        <v>7</v>
      </c>
      <c r="B33" s="71"/>
      <c r="C33" s="71"/>
      <c r="D33" s="71"/>
      <c r="G33" s="40"/>
    </row>
    <row r="34" spans="1:7" x14ac:dyDescent="0.2">
      <c r="A34" s="41"/>
      <c r="B34" s="33"/>
      <c r="G34" s="40"/>
    </row>
    <row r="35" spans="1:7" x14ac:dyDescent="0.2">
      <c r="A35" s="41"/>
      <c r="G35" s="40"/>
    </row>
    <row r="36" spans="1:7" ht="15" x14ac:dyDescent="0.25">
      <c r="A36" s="80" t="s">
        <v>9</v>
      </c>
      <c r="B36" s="81"/>
      <c r="C36" s="81"/>
      <c r="D36" s="81"/>
      <c r="E36" s="81"/>
      <c r="F36" s="81"/>
      <c r="G36" s="82"/>
    </row>
    <row r="37" spans="1:7" ht="15" x14ac:dyDescent="0.25">
      <c r="A37" s="41"/>
      <c r="E37" s="42" t="s">
        <v>4</v>
      </c>
      <c r="F37" s="42" t="s">
        <v>3</v>
      </c>
      <c r="G37" s="40"/>
    </row>
    <row r="38" spans="1:7" ht="15" x14ac:dyDescent="0.25">
      <c r="A38" s="43" t="s">
        <v>10</v>
      </c>
      <c r="B38" s="83"/>
      <c r="C38" s="83"/>
      <c r="D38" s="83"/>
      <c r="E38" s="44"/>
      <c r="F38" s="45"/>
      <c r="G38" s="40"/>
    </row>
    <row r="39" spans="1:7" ht="15" x14ac:dyDescent="0.25">
      <c r="A39" s="43"/>
      <c r="B39" s="83"/>
      <c r="C39" s="83"/>
      <c r="D39" s="83"/>
      <c r="E39" s="44"/>
      <c r="F39" s="45"/>
      <c r="G39" s="40"/>
    </row>
    <row r="40" spans="1:7" ht="15" x14ac:dyDescent="0.25">
      <c r="A40" s="43"/>
      <c r="B40" s="28"/>
      <c r="C40" s="28"/>
      <c r="D40" s="28"/>
      <c r="E40" s="44"/>
      <c r="F40" s="45"/>
      <c r="G40" s="40"/>
    </row>
    <row r="41" spans="1:7" ht="15" x14ac:dyDescent="0.25">
      <c r="A41" s="43"/>
      <c r="B41" s="49"/>
      <c r="C41" s="49"/>
      <c r="D41" s="49"/>
      <c r="E41" s="50"/>
      <c r="F41" s="50"/>
      <c r="G41" s="40"/>
    </row>
    <row r="42" spans="1:7" ht="15" x14ac:dyDescent="0.25">
      <c r="A42" s="43" t="s">
        <v>11</v>
      </c>
      <c r="B42" s="60"/>
      <c r="C42" s="60"/>
      <c r="G42" s="40"/>
    </row>
    <row r="43" spans="1:7" x14ac:dyDescent="0.2">
      <c r="A43" s="41"/>
      <c r="G43" s="40"/>
    </row>
    <row r="44" spans="1:7" x14ac:dyDescent="0.2">
      <c r="A44" s="84"/>
      <c r="B44" s="85"/>
      <c r="C44" s="85"/>
      <c r="D44" s="85"/>
      <c r="E44" s="85"/>
      <c r="F44" s="85"/>
      <c r="G44" s="86"/>
    </row>
    <row r="45" spans="1:7" ht="15" x14ac:dyDescent="0.25">
      <c r="A45" s="39" t="s">
        <v>12</v>
      </c>
      <c r="B45" s="60"/>
      <c r="C45" s="60"/>
      <c r="D45" s="60"/>
      <c r="E45" s="60"/>
      <c r="F45" s="60"/>
      <c r="G45" s="61"/>
    </row>
    <row r="46" spans="1:7" x14ac:dyDescent="0.2">
      <c r="A46" s="41"/>
      <c r="B46" s="60"/>
      <c r="C46" s="60"/>
      <c r="D46" s="60"/>
      <c r="E46" s="60"/>
      <c r="F46" s="60"/>
      <c r="G46" s="61"/>
    </row>
    <row r="47" spans="1:7" x14ac:dyDescent="0.2">
      <c r="A47" s="41"/>
      <c r="B47" s="60"/>
      <c r="C47" s="60"/>
      <c r="D47" s="60"/>
      <c r="E47" s="60"/>
      <c r="F47" s="60"/>
      <c r="G47" s="61"/>
    </row>
    <row r="48" spans="1:7" ht="15.75" x14ac:dyDescent="0.25">
      <c r="A48" s="41"/>
      <c r="B48" s="52"/>
      <c r="C48" s="52"/>
      <c r="D48" s="52"/>
      <c r="E48" s="52"/>
      <c r="F48" s="53"/>
      <c r="G48" s="54"/>
    </row>
    <row r="49" spans="1:7" ht="15" x14ac:dyDescent="0.25">
      <c r="A49" s="41" t="s">
        <v>34</v>
      </c>
      <c r="C49" s="42" t="s">
        <v>2</v>
      </c>
      <c r="D49" s="42" t="s">
        <v>5</v>
      </c>
      <c r="E49" s="42" t="s">
        <v>6</v>
      </c>
      <c r="F49" s="42" t="s">
        <v>13</v>
      </c>
      <c r="G49" s="40"/>
    </row>
    <row r="50" spans="1:7" x14ac:dyDescent="0.2">
      <c r="A50" s="41"/>
      <c r="G50" s="40"/>
    </row>
    <row r="51" spans="1:7" ht="15.75" thickBot="1" x14ac:dyDescent="0.25">
      <c r="A51" s="57"/>
      <c r="B51" s="58"/>
      <c r="C51" s="58"/>
      <c r="D51" s="58"/>
      <c r="E51" s="58"/>
      <c r="F51" s="58"/>
      <c r="G51" s="59"/>
    </row>
  </sheetData>
  <mergeCells count="21">
    <mergeCell ref="B38:D38"/>
    <mergeCell ref="B39:D39"/>
    <mergeCell ref="A44:G44"/>
    <mergeCell ref="A27:F28"/>
    <mergeCell ref="G27:G28"/>
    <mergeCell ref="B31:D31"/>
    <mergeCell ref="B32:D32"/>
    <mergeCell ref="B33:D33"/>
    <mergeCell ref="A36:G36"/>
    <mergeCell ref="B21:G21"/>
    <mergeCell ref="A1:F2"/>
    <mergeCell ref="G1:G2"/>
    <mergeCell ref="B5:E5"/>
    <mergeCell ref="B6:E6"/>
    <mergeCell ref="B7:E7"/>
    <mergeCell ref="A10:G10"/>
    <mergeCell ref="B12:D12"/>
    <mergeCell ref="B13:D13"/>
    <mergeCell ref="A18:G18"/>
    <mergeCell ref="B19:G19"/>
    <mergeCell ref="B20:G2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V28"/>
  <sheetViews>
    <sheetView showGridLines="0" tabSelected="1" zoomScaleNormal="100" workbookViewId="0">
      <selection activeCell="L10" sqref="L10"/>
    </sheetView>
  </sheetViews>
  <sheetFormatPr defaultRowHeight="14.25" x14ac:dyDescent="0.2"/>
  <cols>
    <col min="1" max="1" width="18.25" customWidth="1"/>
    <col min="2" max="8" width="11" customWidth="1"/>
    <col min="12" max="12" width="17.125" customWidth="1"/>
    <col min="13" max="13" width="9" customWidth="1"/>
    <col min="14" max="14" width="9.875" customWidth="1"/>
    <col min="15" max="45" width="9" customWidth="1"/>
    <col min="47" max="47" width="15" bestFit="1" customWidth="1"/>
  </cols>
  <sheetData>
    <row r="1" spans="1:48" ht="14.25" customHeight="1" x14ac:dyDescent="0.2">
      <c r="A1" s="102" t="s">
        <v>0</v>
      </c>
      <c r="B1" s="103"/>
      <c r="C1" s="103"/>
      <c r="D1" s="103"/>
      <c r="E1" s="103"/>
      <c r="F1" s="103"/>
      <c r="G1" s="103"/>
      <c r="H1" s="106">
        <v>2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49</v>
      </c>
      <c r="AU1" t="s">
        <v>50</v>
      </c>
      <c r="AV1" t="s">
        <v>51</v>
      </c>
    </row>
    <row r="2" spans="1:48" ht="14.25" customHeight="1" x14ac:dyDescent="0.2">
      <c r="A2" s="104"/>
      <c r="B2" s="105"/>
      <c r="C2" s="105"/>
      <c r="D2" s="105"/>
      <c r="E2" s="105"/>
      <c r="F2" s="105"/>
      <c r="G2" s="105"/>
      <c r="H2" s="107"/>
      <c r="I2" s="1"/>
      <c r="J2" s="1"/>
      <c r="M2" s="32">
        <f>H1</f>
        <v>2</v>
      </c>
      <c r="N2" s="33" t="str">
        <f>IF(C5="","",C5)</f>
        <v/>
      </c>
      <c r="O2" s="32" t="str">
        <f>IF(C6="","",C6)</f>
        <v/>
      </c>
      <c r="P2" s="32" t="str">
        <f>IF(C7="","",C7)</f>
        <v/>
      </c>
      <c r="Q2" s="32" t="str">
        <f>IF(B12="","",B12)</f>
        <v/>
      </c>
      <c r="R2" s="34" t="str">
        <f>IF(E12="","",E12)</f>
        <v/>
      </c>
      <c r="S2" s="34" t="str">
        <f>IF(F12="","",F12)</f>
        <v/>
      </c>
      <c r="T2" s="34" t="str">
        <f>IF(G12="","",G12)</f>
        <v/>
      </c>
      <c r="U2" s="34" t="str">
        <f>IF(B13="","",B13)</f>
        <v/>
      </c>
      <c r="V2" s="34" t="str">
        <f>IF(E13="","",E13)</f>
        <v/>
      </c>
      <c r="W2" s="34" t="str">
        <f>IF(F13="","",F13)</f>
        <v/>
      </c>
      <c r="X2" s="34" t="str">
        <f>IF(G13="","",G13)</f>
        <v/>
      </c>
      <c r="Y2" s="34" t="str">
        <f>IF(B14="","",B14)</f>
        <v/>
      </c>
      <c r="Z2" s="34" t="str">
        <f>IF(E14="","",E14)</f>
        <v/>
      </c>
      <c r="AA2" s="34" t="str">
        <f>IF(F14="","",F14)</f>
        <v/>
      </c>
      <c r="AB2" s="34" t="str">
        <f>IF(G14="","",G14)</f>
        <v/>
      </c>
      <c r="AC2" s="34" t="str">
        <f>IF(B15="","",B15)</f>
        <v/>
      </c>
      <c r="AD2" s="34" t="str">
        <f>IF(E15="","",E15)</f>
        <v/>
      </c>
      <c r="AE2" s="34" t="str">
        <f>IF(F15="","",F15)</f>
        <v/>
      </c>
      <c r="AF2" s="34" t="str">
        <f>IF(G15="","",G15)</f>
        <v/>
      </c>
      <c r="AG2" s="34" t="str">
        <f>IF(B16="","",B16)</f>
        <v/>
      </c>
      <c r="AH2" s="34" t="str">
        <f>IF(E16="","",E16)</f>
        <v/>
      </c>
      <c r="AI2" s="34" t="str">
        <f>IF(F16="","",F16)</f>
        <v/>
      </c>
      <c r="AJ2" s="34" t="str">
        <f>IF(G16="","",G16)</f>
        <v/>
      </c>
      <c r="AK2" s="34" t="str">
        <f>IF(B17="","",B17)</f>
        <v/>
      </c>
      <c r="AL2" s="34" t="str">
        <f>IF(E17="","",E17)</f>
        <v/>
      </c>
      <c r="AM2" s="34" t="str">
        <f>IF(F17="","",F17)</f>
        <v/>
      </c>
      <c r="AN2" s="34" t="str">
        <f>IF(G17="","",G17)</f>
        <v/>
      </c>
      <c r="AO2" s="34" t="str">
        <f>IF(B19="","",B19)</f>
        <v/>
      </c>
      <c r="AP2" s="34" t="str">
        <f>IF(C25="","",C25)</f>
        <v/>
      </c>
      <c r="AQ2" s="34" t="str">
        <f>IF(D25="","",D25)</f>
        <v/>
      </c>
      <c r="AR2" s="34" t="str">
        <f>IF(E25="","",E25)</f>
        <v/>
      </c>
      <c r="AS2" s="34" t="str">
        <f>IF(F25="","",F25)</f>
        <v/>
      </c>
      <c r="AT2" s="34" t="str">
        <f>L21</f>
        <v>GABRIEL</v>
      </c>
      <c r="AU2" s="68">
        <f ca="1">NOW()</f>
        <v>45446.425571412037</v>
      </c>
      <c r="AV2">
        <f>L23</f>
        <v>0</v>
      </c>
    </row>
    <row r="3" spans="1:48" ht="14.25" customHeight="1" x14ac:dyDescent="0.2">
      <c r="A3" s="19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s="25" t="s">
        <v>24</v>
      </c>
      <c r="T3" s="25" t="s">
        <v>22</v>
      </c>
      <c r="U3" s="25" t="s">
        <v>25</v>
      </c>
      <c r="V3" s="25" t="s">
        <v>21</v>
      </c>
      <c r="W3" s="25" t="s">
        <v>24</v>
      </c>
      <c r="X3" s="25" t="s">
        <v>22</v>
      </c>
      <c r="Y3" s="25" t="s">
        <v>25</v>
      </c>
      <c r="Z3" s="25" t="s">
        <v>21</v>
      </c>
      <c r="AA3" s="25" t="s">
        <v>24</v>
      </c>
      <c r="AB3" s="25" t="s">
        <v>22</v>
      </c>
      <c r="AC3" s="25" t="s">
        <v>25</v>
      </c>
      <c r="AD3" s="25" t="s">
        <v>21</v>
      </c>
      <c r="AE3" s="25" t="s">
        <v>24</v>
      </c>
      <c r="AF3" s="25" t="s">
        <v>22</v>
      </c>
      <c r="AG3" s="25" t="s">
        <v>25</v>
      </c>
      <c r="AH3" s="25" t="s">
        <v>21</v>
      </c>
      <c r="AI3" s="25" t="s">
        <v>24</v>
      </c>
      <c r="AJ3" s="25" t="s">
        <v>22</v>
      </c>
      <c r="AK3" s="25" t="s">
        <v>25</v>
      </c>
      <c r="AL3" s="25" t="s">
        <v>21</v>
      </c>
      <c r="AM3" s="25" t="s">
        <v>24</v>
      </c>
      <c r="AN3" s="25" t="s">
        <v>22</v>
      </c>
      <c r="AO3" s="25" t="s">
        <v>26</v>
      </c>
      <c r="AP3" s="25" t="s">
        <v>27</v>
      </c>
      <c r="AQ3" s="25" t="s">
        <v>28</v>
      </c>
      <c r="AR3" s="25" t="s">
        <v>29</v>
      </c>
      <c r="AS3" s="25" t="s">
        <v>30</v>
      </c>
      <c r="AT3" t="s">
        <v>49</v>
      </c>
      <c r="AU3" t="s">
        <v>50</v>
      </c>
      <c r="AV3" t="s">
        <v>51</v>
      </c>
    </row>
    <row r="4" spans="1:48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32">
        <f>H1</f>
        <v>2</v>
      </c>
      <c r="N4" s="33" t="str">
        <f>IFERROR(VLOOKUP($M$4,BD!$A:$AG,2,FALSE),"")</f>
        <v/>
      </c>
      <c r="O4" s="34" t="str">
        <f>IFERROR(VLOOKUP($M$4,BD!$A:$AG,3,FALSE),"")</f>
        <v/>
      </c>
      <c r="P4" s="34" t="str">
        <f>IFERROR(VLOOKUP($M$4,BD!$A:$AG,4,FALSE),"")</f>
        <v/>
      </c>
      <c r="Q4" s="34" t="str">
        <f>IFERROR(VLOOKUP($M$4,BD!$A:$AG,5,FALSE),"")</f>
        <v/>
      </c>
      <c r="R4" s="34" t="str">
        <f>IFERROR(VLOOKUP($M$4,BD!$A:$AG,6,FALSE),"")</f>
        <v/>
      </c>
      <c r="S4" s="34" t="str">
        <f>IFERROR(VLOOKUP($M$4,BD!$A:$AG,7,FALSE),"")</f>
        <v/>
      </c>
      <c r="T4" s="34" t="str">
        <f>IFERROR(VLOOKUP($M$4,BD!$A:$AG,8,FALSE),"")</f>
        <v/>
      </c>
      <c r="U4" s="34" t="str">
        <f>IFERROR(VLOOKUP($M$4,BD!$A:$AG,9,FALSE),"")</f>
        <v/>
      </c>
      <c r="V4" s="34" t="str">
        <f>IFERROR(VLOOKUP($M$4,BD!$A:$AG,10,FALSE),"")</f>
        <v/>
      </c>
      <c r="W4" s="34" t="str">
        <f>IFERROR(VLOOKUP($M$4,BD!$A:$AG,11,FALSE),"")</f>
        <v/>
      </c>
      <c r="X4" s="34" t="str">
        <f>IFERROR(VLOOKUP($M$4,BD!$A:$AG,12,FALSE),"")</f>
        <v/>
      </c>
      <c r="Y4" s="34" t="str">
        <f>IFERROR(VLOOKUP($M$4,BD!$A:$AG,13,FALSE),"")</f>
        <v/>
      </c>
      <c r="Z4" s="34" t="str">
        <f>IFERROR(VLOOKUP($M$4,BD!$A:$AG,14,FALSE),"")</f>
        <v/>
      </c>
      <c r="AA4" s="34" t="str">
        <f>IFERROR(VLOOKUP($M$4,BD!$A:$AG,15,FALSE),"")</f>
        <v/>
      </c>
      <c r="AB4" s="34" t="str">
        <f>IFERROR(VLOOKUP($M$4,BD!$A:$AG,16,FALSE),"")</f>
        <v/>
      </c>
      <c r="AC4" s="34" t="str">
        <f>IFERROR(VLOOKUP($M$4,BD!$A:$AG,17,FALSE),"")</f>
        <v/>
      </c>
      <c r="AD4" s="34" t="str">
        <f>IFERROR(VLOOKUP($M$4,BD!$A:$AG,18,FALSE),"")</f>
        <v/>
      </c>
      <c r="AE4" s="34" t="str">
        <f>IFERROR(VLOOKUP($M$4,BD!$A:$AG,19,FALSE),"")</f>
        <v/>
      </c>
      <c r="AF4" s="34" t="str">
        <f>IFERROR(VLOOKUP($M$4,BD!$A:$AG,20,FALSE),"")</f>
        <v/>
      </c>
      <c r="AG4" s="34" t="str">
        <f>IFERROR(VLOOKUP($M$4,BD!$A:$AG,21,FALSE),"")</f>
        <v/>
      </c>
      <c r="AH4" s="34" t="str">
        <f>IFERROR(VLOOKUP($M$4,BD!$A:$AG,22,FALSE),"")</f>
        <v/>
      </c>
      <c r="AI4" s="34" t="str">
        <f>IFERROR(VLOOKUP($M$4,BD!$A:$AG,23,FALSE),"")</f>
        <v/>
      </c>
      <c r="AJ4" s="34" t="str">
        <f>IFERROR(VLOOKUP($M$4,BD!$A:$AG,24,FALSE),"")</f>
        <v/>
      </c>
      <c r="AK4" s="34" t="str">
        <f>IFERROR(VLOOKUP($M$4,BD!$A:$AG,25,FALSE),"")</f>
        <v/>
      </c>
      <c r="AL4" s="34" t="str">
        <f>IFERROR(VLOOKUP($M$4,BD!$A:$AG,26,FALSE),"")</f>
        <v/>
      </c>
      <c r="AM4" s="34" t="str">
        <f>IFERROR(VLOOKUP($M$4,BD!$A:$AG,27,FALSE),"")</f>
        <v/>
      </c>
      <c r="AN4" s="34" t="str">
        <f>IFERROR(VLOOKUP($M$4,BD!$A:$AG,28,FALSE),"")</f>
        <v/>
      </c>
      <c r="AO4" s="34" t="str">
        <f>IFERROR(VLOOKUP($M$4,BD!$A:$AG,29,FALSE),"")</f>
        <v/>
      </c>
      <c r="AP4" s="34" t="str">
        <f>IFERROR(VLOOKUP($M$4,BD!$A:$AG,30,FALSE),"")</f>
        <v/>
      </c>
      <c r="AQ4" s="34" t="str">
        <f>IFERROR(VLOOKUP($M$4,BD!$A:$AG,31,FALSE),"")</f>
        <v/>
      </c>
      <c r="AR4" s="34" t="str">
        <f>IFERROR(VLOOKUP($M$4,BD!$A:$AG,32,FALSE),"")</f>
        <v/>
      </c>
      <c r="AS4" s="34" t="str">
        <f>IFERROR(VLOOKUP($M$4,BD!$A:$AG,33,FALSE),"")</f>
        <v/>
      </c>
      <c r="AT4" s="34" t="str">
        <f>IFERROR(VLOOKUP($M$4,BD!$A:$AJ,34,FALSE),"")</f>
        <v>GABRIEL</v>
      </c>
      <c r="AU4" s="68">
        <f>IFERROR(VLOOKUP($M$4,BD!$A:$AJ,35,FALSE),"")</f>
        <v>45446.423356597224</v>
      </c>
      <c r="AV4">
        <f>IFERROR(VLOOKUP($M$4,BD!$A:$AJ,36,FALSE),"")</f>
        <v>0</v>
      </c>
    </row>
    <row r="5" spans="1:48" ht="15" x14ac:dyDescent="0.25">
      <c r="A5" s="9"/>
      <c r="B5" s="21" t="s">
        <v>8</v>
      </c>
      <c r="C5" s="79"/>
      <c r="D5" s="79"/>
      <c r="E5" s="17"/>
      <c r="F5" s="17"/>
      <c r="G5" s="18"/>
      <c r="H5" s="8"/>
      <c r="M5" t="s">
        <v>16</v>
      </c>
      <c r="AU5" s="68"/>
    </row>
    <row r="6" spans="1:48" ht="15" x14ac:dyDescent="0.25">
      <c r="A6" s="9"/>
      <c r="B6" s="21" t="s">
        <v>1</v>
      </c>
      <c r="C6" s="87"/>
      <c r="D6" s="87"/>
      <c r="E6" s="87"/>
      <c r="F6" s="87"/>
      <c r="G6" s="18"/>
      <c r="H6" s="8"/>
      <c r="M6" s="32">
        <f>MAX(BD!A:A)+1</f>
        <v>3</v>
      </c>
    </row>
    <row r="7" spans="1:48" ht="15" x14ac:dyDescent="0.25">
      <c r="A7" s="9"/>
      <c r="B7" s="21" t="s">
        <v>7</v>
      </c>
      <c r="C7" s="71"/>
      <c r="D7" s="71"/>
      <c r="E7" s="71"/>
      <c r="F7" s="71"/>
      <c r="G7" s="18"/>
      <c r="H7" s="8"/>
      <c r="M7" t="s">
        <v>52</v>
      </c>
      <c r="N7" t="s">
        <v>39</v>
      </c>
    </row>
    <row r="8" spans="1:48" x14ac:dyDescent="0.2">
      <c r="A8" s="9"/>
      <c r="B8" s="10"/>
      <c r="H8" s="8"/>
      <c r="K8" t="s">
        <v>15</v>
      </c>
      <c r="M8" s="32" t="s">
        <v>53</v>
      </c>
      <c r="N8" t="s">
        <v>40</v>
      </c>
    </row>
    <row r="9" spans="1:48" x14ac:dyDescent="0.2">
      <c r="A9" s="20"/>
      <c r="H9" s="8"/>
    </row>
    <row r="10" spans="1:48" ht="15" x14ac:dyDescent="0.25">
      <c r="A10" s="109" t="s">
        <v>9</v>
      </c>
      <c r="B10" s="110"/>
      <c r="C10" s="110"/>
      <c r="D10" s="110"/>
      <c r="E10" s="110"/>
      <c r="F10" s="110"/>
      <c r="G10" s="110"/>
      <c r="H10" s="111"/>
    </row>
    <row r="11" spans="1:48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8" ht="15" x14ac:dyDescent="0.25">
      <c r="A12" s="11" t="s">
        <v>10</v>
      </c>
      <c r="B12" s="83"/>
      <c r="C12" s="83"/>
      <c r="D12" s="108"/>
      <c r="E12" s="30" t="s">
        <v>45</v>
      </c>
      <c r="F12" s="30" t="s">
        <v>45</v>
      </c>
      <c r="G12" s="29" t="s">
        <v>45</v>
      </c>
      <c r="H12" s="8"/>
      <c r="K12" t="s">
        <v>32</v>
      </c>
      <c r="AE12" s="25"/>
    </row>
    <row r="13" spans="1:48" ht="15" x14ac:dyDescent="0.25">
      <c r="A13" s="11" t="s">
        <v>11</v>
      </c>
      <c r="B13" s="83"/>
      <c r="C13" s="83"/>
      <c r="D13" s="108"/>
      <c r="E13" s="29" t="s">
        <v>45</v>
      </c>
      <c r="F13" s="29" t="s">
        <v>45</v>
      </c>
      <c r="G13" s="29" t="s">
        <v>45</v>
      </c>
      <c r="H13" s="8"/>
    </row>
    <row r="14" spans="1:48" ht="15" x14ac:dyDescent="0.25">
      <c r="A14" s="11" t="s">
        <v>11</v>
      </c>
      <c r="B14" s="83"/>
      <c r="C14" s="83"/>
      <c r="D14" s="108"/>
      <c r="E14" s="29" t="s">
        <v>45</v>
      </c>
      <c r="F14" s="29" t="s">
        <v>45</v>
      </c>
      <c r="G14" s="29" t="s">
        <v>45</v>
      </c>
      <c r="H14" s="8"/>
    </row>
    <row r="15" spans="1:48" ht="15" x14ac:dyDescent="0.25">
      <c r="A15" s="11" t="s">
        <v>11</v>
      </c>
      <c r="B15" s="83"/>
      <c r="C15" s="83"/>
      <c r="D15" s="108"/>
      <c r="E15" s="29" t="s">
        <v>45</v>
      </c>
      <c r="F15" s="29" t="s">
        <v>45</v>
      </c>
      <c r="G15" s="29" t="s">
        <v>45</v>
      </c>
      <c r="H15" s="8"/>
    </row>
    <row r="16" spans="1:48" ht="15" x14ac:dyDescent="0.25">
      <c r="A16" s="11" t="s">
        <v>11</v>
      </c>
      <c r="B16" s="83"/>
      <c r="C16" s="83"/>
      <c r="D16" s="108"/>
      <c r="E16" s="29" t="s">
        <v>45</v>
      </c>
      <c r="F16" s="29" t="s">
        <v>45</v>
      </c>
      <c r="G16" s="29" t="s">
        <v>45</v>
      </c>
      <c r="H16" s="8"/>
      <c r="K16" t="s">
        <v>14</v>
      </c>
    </row>
    <row r="17" spans="1:12" ht="15" x14ac:dyDescent="0.25">
      <c r="A17" s="11" t="s">
        <v>11</v>
      </c>
      <c r="B17" s="83"/>
      <c r="C17" s="83"/>
      <c r="D17" s="108"/>
      <c r="E17" s="30" t="s">
        <v>45</v>
      </c>
      <c r="F17" s="30" t="s">
        <v>45</v>
      </c>
      <c r="G17" s="29" t="s">
        <v>45</v>
      </c>
      <c r="H17" s="8"/>
    </row>
    <row r="18" spans="1:12" x14ac:dyDescent="0.2">
      <c r="A18" s="112"/>
      <c r="B18" s="113"/>
      <c r="C18" s="113"/>
      <c r="D18" s="113"/>
      <c r="E18" s="113"/>
      <c r="F18" s="113"/>
      <c r="G18" s="113"/>
      <c r="H18" s="114"/>
    </row>
    <row r="19" spans="1:12" ht="15" customHeight="1" x14ac:dyDescent="0.25">
      <c r="A19" s="7" t="s">
        <v>12</v>
      </c>
      <c r="B19" s="93"/>
      <c r="C19" s="94"/>
      <c r="D19" s="94"/>
      <c r="E19" s="94"/>
      <c r="F19" s="94"/>
      <c r="G19" s="94"/>
      <c r="H19" s="95"/>
    </row>
    <row r="20" spans="1:12" x14ac:dyDescent="0.2">
      <c r="A20" s="9"/>
      <c r="B20" s="96"/>
      <c r="C20" s="97"/>
      <c r="D20" s="97"/>
      <c r="E20" s="97"/>
      <c r="F20" s="97"/>
      <c r="G20" s="97"/>
      <c r="H20" s="98"/>
    </row>
    <row r="21" spans="1:12" x14ac:dyDescent="0.2">
      <c r="A21" s="9"/>
      <c r="B21" s="99"/>
      <c r="C21" s="100"/>
      <c r="D21" s="100"/>
      <c r="E21" s="100"/>
      <c r="F21" s="100"/>
      <c r="G21" s="100"/>
      <c r="H21" s="101"/>
      <c r="J21" s="67"/>
      <c r="K21" s="66" t="s">
        <v>46</v>
      </c>
      <c r="L21" s="69" t="s">
        <v>53</v>
      </c>
    </row>
    <row r="22" spans="1:12" ht="15.75" x14ac:dyDescent="0.25">
      <c r="A22" s="9"/>
      <c r="B22" s="12"/>
      <c r="C22" s="12"/>
      <c r="D22" s="12"/>
      <c r="E22" s="12"/>
      <c r="F22" s="12"/>
      <c r="G22" s="26"/>
      <c r="H22" s="27"/>
      <c r="J22" s="67"/>
      <c r="K22" s="66" t="s">
        <v>47</v>
      </c>
      <c r="L22" s="70">
        <v>45446.423356481479</v>
      </c>
    </row>
    <row r="23" spans="1:12" ht="15" x14ac:dyDescent="0.25">
      <c r="A23" s="16"/>
      <c r="B23" s="3"/>
      <c r="C23" s="3"/>
      <c r="D23" s="3"/>
      <c r="E23" s="3"/>
      <c r="F23" s="3"/>
      <c r="H23" s="8"/>
      <c r="K23" s="66" t="s">
        <v>48</v>
      </c>
      <c r="L23" s="69">
        <v>0</v>
      </c>
    </row>
    <row r="24" spans="1:12" ht="14.25" customHeight="1" x14ac:dyDescent="0.25">
      <c r="A24" s="23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12" ht="14.25" customHeight="1" x14ac:dyDescent="0.2">
      <c r="A25" s="9"/>
      <c r="C25" s="31"/>
      <c r="D25" s="31"/>
      <c r="E25" s="31"/>
      <c r="F25" s="31"/>
      <c r="H25" s="8"/>
      <c r="I25" s="2"/>
    </row>
    <row r="26" spans="1:12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12" ht="14.25" customHeight="1" x14ac:dyDescent="0.2"/>
    <row r="28" spans="1:12" ht="14.25" customHeight="1" x14ac:dyDescent="0.2"/>
  </sheetData>
  <sheetProtection algorithmName="SHA-512" hashValue="rn3fWz8BmN3s270Zm7cqMaKVDteTfajAiNataHONNw5rI1C3Fi58eUSmPIkKpuXFSFIvODeS2ghDbtfWmHgkkw==" saltValue="1sClJ6ah14phBO/goR7aBA==" spinCount="100000" sheet="1" objects="1" scenarios="1"/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J23"/>
  <sheetViews>
    <sheetView workbookViewId="0">
      <selection activeCell="AI2" sqref="AI2:AI3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  <col min="35" max="35" width="15.375" customWidth="1"/>
  </cols>
  <sheetData>
    <row r="1" spans="1:36" ht="15" thickBot="1" x14ac:dyDescent="0.25">
      <c r="A1" s="24" t="s">
        <v>16</v>
      </c>
      <c r="B1" s="24" t="s">
        <v>17</v>
      </c>
      <c r="C1" s="24" t="s">
        <v>18</v>
      </c>
      <c r="D1" s="24" t="s">
        <v>19</v>
      </c>
      <c r="E1" s="24" t="s">
        <v>20</v>
      </c>
      <c r="F1" s="24" t="s">
        <v>21</v>
      </c>
      <c r="G1" s="24" t="s">
        <v>24</v>
      </c>
      <c r="H1" s="24" t="s">
        <v>22</v>
      </c>
      <c r="I1" s="24" t="s">
        <v>25</v>
      </c>
      <c r="J1" s="24" t="s">
        <v>21</v>
      </c>
      <c r="K1" s="24" t="s">
        <v>24</v>
      </c>
      <c r="L1" s="24" t="s">
        <v>22</v>
      </c>
      <c r="M1" s="24" t="s">
        <v>25</v>
      </c>
      <c r="N1" s="24" t="s">
        <v>21</v>
      </c>
      <c r="O1" s="24" t="s">
        <v>24</v>
      </c>
      <c r="P1" s="24" t="s">
        <v>22</v>
      </c>
      <c r="Q1" s="24" t="s">
        <v>25</v>
      </c>
      <c r="R1" s="24" t="s">
        <v>21</v>
      </c>
      <c r="S1" s="24" t="s">
        <v>24</v>
      </c>
      <c r="T1" s="24" t="s">
        <v>22</v>
      </c>
      <c r="U1" s="24" t="s">
        <v>25</v>
      </c>
      <c r="V1" s="24" t="s">
        <v>21</v>
      </c>
      <c r="W1" s="24" t="s">
        <v>24</v>
      </c>
      <c r="X1" s="24" t="s">
        <v>22</v>
      </c>
      <c r="Y1" s="24" t="s">
        <v>25</v>
      </c>
      <c r="Z1" s="24" t="s">
        <v>21</v>
      </c>
      <c r="AA1" s="24" t="s">
        <v>24</v>
      </c>
      <c r="AB1" s="24" t="s">
        <v>22</v>
      </c>
      <c r="AC1" s="24" t="s">
        <v>26</v>
      </c>
      <c r="AD1" s="24" t="s">
        <v>27</v>
      </c>
      <c r="AE1" s="24" t="s">
        <v>28</v>
      </c>
      <c r="AF1" s="24" t="s">
        <v>29</v>
      </c>
      <c r="AG1" s="24" t="s">
        <v>30</v>
      </c>
      <c r="AH1" s="24" t="s">
        <v>49</v>
      </c>
      <c r="AI1" s="24" t="s">
        <v>50</v>
      </c>
      <c r="AJ1" s="24" t="s">
        <v>51</v>
      </c>
    </row>
    <row r="2" spans="1:36" x14ac:dyDescent="0.2">
      <c r="A2" s="32">
        <v>2</v>
      </c>
      <c r="B2" s="33" t="s">
        <v>45</v>
      </c>
      <c r="C2" s="32" t="s">
        <v>45</v>
      </c>
      <c r="D2" s="32" t="s">
        <v>45</v>
      </c>
      <c r="E2" s="32" t="s">
        <v>45</v>
      </c>
      <c r="F2" s="34" t="s">
        <v>45</v>
      </c>
      <c r="G2" s="34" t="s">
        <v>45</v>
      </c>
      <c r="H2" s="34" t="s">
        <v>45</v>
      </c>
      <c r="I2" s="34" t="s">
        <v>45</v>
      </c>
      <c r="J2" s="34" t="s">
        <v>45</v>
      </c>
      <c r="K2" s="34" t="s">
        <v>45</v>
      </c>
      <c r="L2" s="34" t="s">
        <v>45</v>
      </c>
      <c r="M2" s="34" t="s">
        <v>45</v>
      </c>
      <c r="N2" s="34" t="s">
        <v>45</v>
      </c>
      <c r="O2" s="34" t="s">
        <v>45</v>
      </c>
      <c r="P2" s="34" t="s">
        <v>45</v>
      </c>
      <c r="Q2" s="34" t="s">
        <v>45</v>
      </c>
      <c r="R2" s="34" t="s">
        <v>45</v>
      </c>
      <c r="S2" s="34" t="s">
        <v>45</v>
      </c>
      <c r="T2" s="34" t="s">
        <v>45</v>
      </c>
      <c r="U2" s="34" t="s">
        <v>45</v>
      </c>
      <c r="V2" s="34" t="s">
        <v>45</v>
      </c>
      <c r="W2" s="34" t="s">
        <v>45</v>
      </c>
      <c r="X2" s="34" t="s">
        <v>45</v>
      </c>
      <c r="Y2" s="34" t="s">
        <v>45</v>
      </c>
      <c r="Z2" s="34" t="s">
        <v>45</v>
      </c>
      <c r="AA2" s="34" t="s">
        <v>45</v>
      </c>
      <c r="AB2" s="34" t="s">
        <v>45</v>
      </c>
      <c r="AC2" s="34" t="s">
        <v>45</v>
      </c>
      <c r="AD2" s="34" t="s">
        <v>45</v>
      </c>
      <c r="AE2" s="34" t="s">
        <v>45</v>
      </c>
      <c r="AF2" s="34" t="s">
        <v>45</v>
      </c>
      <c r="AG2" s="34" t="s">
        <v>45</v>
      </c>
      <c r="AH2" s="34" t="s">
        <v>53</v>
      </c>
      <c r="AI2" s="68">
        <v>45446.423356597224</v>
      </c>
      <c r="AJ2">
        <v>0</v>
      </c>
    </row>
    <row r="3" spans="1:36" x14ac:dyDescent="0.2">
      <c r="A3" s="32">
        <v>1</v>
      </c>
      <c r="B3" s="33" t="s">
        <v>45</v>
      </c>
      <c r="C3" s="32" t="s">
        <v>45</v>
      </c>
      <c r="D3" s="32" t="s">
        <v>45</v>
      </c>
      <c r="E3" s="32" t="s">
        <v>45</v>
      </c>
      <c r="F3" s="34" t="s">
        <v>45</v>
      </c>
      <c r="G3" s="34" t="s">
        <v>45</v>
      </c>
      <c r="H3" s="34" t="s">
        <v>45</v>
      </c>
      <c r="I3" s="34" t="s">
        <v>45</v>
      </c>
      <c r="J3" s="34" t="s">
        <v>45</v>
      </c>
      <c r="K3" s="34" t="s">
        <v>45</v>
      </c>
      <c r="L3" s="34" t="s">
        <v>45</v>
      </c>
      <c r="M3" s="34" t="s">
        <v>45</v>
      </c>
      <c r="N3" s="34" t="s">
        <v>45</v>
      </c>
      <c r="O3" s="34" t="s">
        <v>45</v>
      </c>
      <c r="P3" s="34" t="s">
        <v>45</v>
      </c>
      <c r="Q3" s="34" t="s">
        <v>45</v>
      </c>
      <c r="R3" s="34" t="s">
        <v>45</v>
      </c>
      <c r="S3" s="34" t="s">
        <v>45</v>
      </c>
      <c r="T3" s="34" t="s">
        <v>45</v>
      </c>
      <c r="U3" s="34" t="s">
        <v>45</v>
      </c>
      <c r="V3" s="34" t="s">
        <v>45</v>
      </c>
      <c r="W3" s="34" t="s">
        <v>45</v>
      </c>
      <c r="X3" s="34" t="s">
        <v>45</v>
      </c>
      <c r="Y3" s="34" t="s">
        <v>45</v>
      </c>
      <c r="Z3" s="34" t="s">
        <v>45</v>
      </c>
      <c r="AA3" s="34" t="s">
        <v>45</v>
      </c>
      <c r="AB3" s="34" t="s">
        <v>45</v>
      </c>
      <c r="AC3" s="34" t="s">
        <v>45</v>
      </c>
      <c r="AD3" s="34" t="s">
        <v>45</v>
      </c>
      <c r="AE3" s="34" t="s">
        <v>45</v>
      </c>
      <c r="AF3" s="34" t="s">
        <v>45</v>
      </c>
      <c r="AG3" s="34" t="s">
        <v>45</v>
      </c>
      <c r="AH3" s="34" t="s">
        <v>53</v>
      </c>
      <c r="AI3" s="68">
        <v>45446.40754594907</v>
      </c>
      <c r="AJ3">
        <v>0</v>
      </c>
    </row>
    <row r="4" spans="1:36" x14ac:dyDescent="0.2">
      <c r="A4" s="32"/>
      <c r="B4" s="33" t="s">
        <v>45</v>
      </c>
      <c r="C4" s="32" t="s">
        <v>45</v>
      </c>
      <c r="D4" s="32" t="s">
        <v>45</v>
      </c>
      <c r="E4" s="32" t="s">
        <v>45</v>
      </c>
      <c r="F4" s="34" t="s">
        <v>45</v>
      </c>
      <c r="G4" s="34" t="s">
        <v>45</v>
      </c>
      <c r="H4" s="34" t="s">
        <v>45</v>
      </c>
      <c r="I4" s="34" t="s">
        <v>45</v>
      </c>
      <c r="J4" s="34" t="s">
        <v>45</v>
      </c>
      <c r="K4" s="34" t="s">
        <v>45</v>
      </c>
      <c r="L4" s="34" t="s">
        <v>45</v>
      </c>
      <c r="M4" s="34" t="s">
        <v>45</v>
      </c>
      <c r="N4" s="34" t="s">
        <v>45</v>
      </c>
      <c r="O4" s="34" t="s">
        <v>45</v>
      </c>
      <c r="P4" s="34" t="s">
        <v>45</v>
      </c>
      <c r="Q4" s="34" t="s">
        <v>45</v>
      </c>
      <c r="R4" s="34" t="s">
        <v>45</v>
      </c>
      <c r="S4" s="34" t="s">
        <v>45</v>
      </c>
      <c r="T4" s="34" t="s">
        <v>45</v>
      </c>
      <c r="U4" s="34" t="s">
        <v>45</v>
      </c>
      <c r="V4" s="34" t="s">
        <v>45</v>
      </c>
      <c r="W4" s="34" t="s">
        <v>45</v>
      </c>
      <c r="X4" s="34" t="s">
        <v>45</v>
      </c>
      <c r="Y4" s="34" t="s">
        <v>45</v>
      </c>
      <c r="Z4" s="34" t="s">
        <v>45</v>
      </c>
      <c r="AA4" s="34" t="s">
        <v>45</v>
      </c>
      <c r="AB4" s="34" t="s">
        <v>45</v>
      </c>
      <c r="AC4" s="34" t="s">
        <v>45</v>
      </c>
      <c r="AD4" s="34" t="s">
        <v>45</v>
      </c>
      <c r="AE4" s="34" t="s">
        <v>45</v>
      </c>
      <c r="AF4" s="34" t="s">
        <v>45</v>
      </c>
      <c r="AG4" s="34" t="s">
        <v>45</v>
      </c>
    </row>
    <row r="5" spans="1:36" x14ac:dyDescent="0.2">
      <c r="A5" s="32"/>
      <c r="B5" s="33" t="s">
        <v>45</v>
      </c>
      <c r="C5" s="32" t="s">
        <v>45</v>
      </c>
      <c r="D5" s="32" t="s">
        <v>45</v>
      </c>
      <c r="E5" s="32" t="s">
        <v>45</v>
      </c>
      <c r="F5" s="34" t="s">
        <v>45</v>
      </c>
      <c r="G5" s="34" t="s">
        <v>45</v>
      </c>
      <c r="H5" s="34" t="s">
        <v>45</v>
      </c>
      <c r="I5" s="34" t="s">
        <v>45</v>
      </c>
      <c r="J5" s="34" t="s">
        <v>45</v>
      </c>
      <c r="K5" s="34" t="s">
        <v>45</v>
      </c>
      <c r="L5" s="34" t="s">
        <v>45</v>
      </c>
      <c r="M5" s="34" t="s">
        <v>45</v>
      </c>
      <c r="N5" s="34" t="s">
        <v>45</v>
      </c>
      <c r="O5" s="34" t="s">
        <v>45</v>
      </c>
      <c r="P5" s="34" t="s">
        <v>45</v>
      </c>
      <c r="Q5" s="34" t="s">
        <v>45</v>
      </c>
      <c r="R5" s="34" t="s">
        <v>45</v>
      </c>
      <c r="S5" s="34" t="s">
        <v>45</v>
      </c>
      <c r="T5" s="34" t="s">
        <v>45</v>
      </c>
      <c r="U5" s="34" t="s">
        <v>45</v>
      </c>
      <c r="V5" s="34" t="s">
        <v>45</v>
      </c>
      <c r="W5" s="34" t="s">
        <v>45</v>
      </c>
      <c r="X5" s="34" t="s">
        <v>45</v>
      </c>
      <c r="Y5" s="34" t="s">
        <v>45</v>
      </c>
      <c r="Z5" s="34" t="s">
        <v>45</v>
      </c>
      <c r="AA5" s="34" t="s">
        <v>45</v>
      </c>
      <c r="AB5" s="34" t="s">
        <v>45</v>
      </c>
      <c r="AC5" s="34" t="s">
        <v>45</v>
      </c>
      <c r="AD5" s="34" t="s">
        <v>45</v>
      </c>
      <c r="AE5" s="34" t="s">
        <v>45</v>
      </c>
      <c r="AF5" s="34" t="s">
        <v>45</v>
      </c>
      <c r="AG5" s="34" t="s">
        <v>45</v>
      </c>
    </row>
    <row r="6" spans="1:36" x14ac:dyDescent="0.2">
      <c r="A6" s="32"/>
      <c r="B6" s="33" t="s">
        <v>45</v>
      </c>
      <c r="C6" s="32" t="s">
        <v>45</v>
      </c>
      <c r="D6" s="32" t="s">
        <v>45</v>
      </c>
      <c r="E6" s="32" t="s">
        <v>45</v>
      </c>
      <c r="F6" s="34" t="s">
        <v>45</v>
      </c>
      <c r="G6" s="34" t="s">
        <v>45</v>
      </c>
      <c r="H6" s="34" t="s">
        <v>45</v>
      </c>
      <c r="I6" s="34" t="s">
        <v>45</v>
      </c>
      <c r="J6" s="34" t="s">
        <v>45</v>
      </c>
      <c r="K6" s="34" t="s">
        <v>45</v>
      </c>
      <c r="L6" s="34" t="s">
        <v>45</v>
      </c>
      <c r="M6" s="34" t="s">
        <v>45</v>
      </c>
      <c r="N6" s="34" t="s">
        <v>45</v>
      </c>
      <c r="O6" s="34" t="s">
        <v>45</v>
      </c>
      <c r="P6" s="34" t="s">
        <v>45</v>
      </c>
      <c r="Q6" s="34" t="s">
        <v>45</v>
      </c>
      <c r="R6" s="34" t="s">
        <v>45</v>
      </c>
      <c r="S6" s="34" t="s">
        <v>45</v>
      </c>
      <c r="T6" s="34" t="s">
        <v>45</v>
      </c>
      <c r="U6" s="34" t="s">
        <v>45</v>
      </c>
      <c r="V6" s="34" t="s">
        <v>45</v>
      </c>
      <c r="W6" s="34" t="s">
        <v>45</v>
      </c>
      <c r="X6" s="34" t="s">
        <v>45</v>
      </c>
      <c r="Y6" s="34" t="s">
        <v>45</v>
      </c>
      <c r="Z6" s="34" t="s">
        <v>45</v>
      </c>
      <c r="AA6" s="34" t="s">
        <v>45</v>
      </c>
      <c r="AB6" s="34" t="s">
        <v>45</v>
      </c>
      <c r="AC6" s="34" t="s">
        <v>45</v>
      </c>
      <c r="AD6" s="34" t="s">
        <v>45</v>
      </c>
      <c r="AE6" s="34" t="s">
        <v>45</v>
      </c>
      <c r="AF6" s="34" t="s">
        <v>45</v>
      </c>
      <c r="AG6" s="34" t="s">
        <v>45</v>
      </c>
    </row>
    <row r="7" spans="1:36" x14ac:dyDescent="0.2">
      <c r="A7" s="32"/>
      <c r="B7" s="33"/>
      <c r="C7" s="32"/>
      <c r="D7" s="32"/>
      <c r="E7" s="32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</row>
    <row r="8" spans="1:36" x14ac:dyDescent="0.2">
      <c r="A8" s="32"/>
      <c r="B8" s="33"/>
      <c r="C8" s="32"/>
      <c r="D8" s="32"/>
      <c r="E8" s="32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</row>
    <row r="9" spans="1:36" x14ac:dyDescent="0.2">
      <c r="A9" s="32"/>
      <c r="B9" s="33"/>
      <c r="C9" s="32"/>
      <c r="D9" s="32"/>
      <c r="E9" s="32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</row>
    <row r="10" spans="1:36" x14ac:dyDescent="0.2">
      <c r="B10" s="10"/>
      <c r="F10" s="22"/>
      <c r="G10" s="22"/>
      <c r="H10" s="22"/>
      <c r="J10" s="22"/>
      <c r="K10" s="22"/>
      <c r="L10" s="22"/>
      <c r="N10" s="22"/>
      <c r="O10" s="22"/>
      <c r="P10" s="22"/>
      <c r="R10" s="22"/>
      <c r="S10" s="22"/>
      <c r="T10" s="22"/>
      <c r="V10" s="22"/>
      <c r="W10" s="22"/>
      <c r="X10" s="22"/>
      <c r="Z10" s="22"/>
      <c r="AA10" s="22"/>
      <c r="AB10" s="22"/>
    </row>
    <row r="11" spans="1:36" x14ac:dyDescent="0.2">
      <c r="B11" s="10"/>
      <c r="F11" s="22"/>
      <c r="G11" s="22"/>
      <c r="H11" s="22"/>
      <c r="J11" s="22"/>
      <c r="K11" s="22"/>
      <c r="L11" s="22"/>
      <c r="N11" s="22"/>
      <c r="O11" s="22"/>
      <c r="P11" s="22"/>
      <c r="R11" s="22"/>
      <c r="S11" s="22"/>
      <c r="T11" s="22"/>
      <c r="V11" s="22"/>
      <c r="W11" s="22"/>
      <c r="X11" s="22"/>
      <c r="Z11" s="22"/>
      <c r="AA11" s="22"/>
      <c r="AB11" s="22"/>
    </row>
    <row r="12" spans="1:36" x14ac:dyDescent="0.2">
      <c r="B12" s="10"/>
      <c r="F12" s="22"/>
      <c r="G12" s="22"/>
      <c r="H12" s="22"/>
      <c r="J12" s="22"/>
      <c r="K12" s="22"/>
      <c r="L12" s="22"/>
      <c r="N12" s="22"/>
      <c r="O12" s="22"/>
      <c r="P12" s="22"/>
      <c r="R12" s="22"/>
      <c r="S12" s="22"/>
      <c r="T12" s="22"/>
      <c r="V12" s="22"/>
      <c r="W12" s="22"/>
      <c r="X12" s="22"/>
      <c r="Z12" s="22"/>
      <c r="AA12" s="22"/>
      <c r="AB12" s="22"/>
    </row>
    <row r="13" spans="1:36" x14ac:dyDescent="0.2">
      <c r="B13" s="10"/>
      <c r="F13" s="22"/>
      <c r="G13" s="22"/>
      <c r="H13" s="22"/>
      <c r="J13" s="22"/>
      <c r="K13" s="22"/>
      <c r="L13" s="22"/>
      <c r="N13" s="22"/>
      <c r="O13" s="22"/>
      <c r="P13" s="22"/>
      <c r="R13" s="22"/>
      <c r="S13" s="22"/>
      <c r="T13" s="22"/>
      <c r="V13" s="22"/>
      <c r="W13" s="22"/>
      <c r="X13" s="22"/>
      <c r="Z13" s="22"/>
      <c r="AA13" s="22"/>
      <c r="AB13" s="22"/>
    </row>
    <row r="14" spans="1:36" x14ac:dyDescent="0.2">
      <c r="B14" s="10"/>
      <c r="F14" s="22"/>
      <c r="G14" s="22"/>
      <c r="H14" s="22"/>
      <c r="J14" s="22"/>
      <c r="K14" s="22"/>
      <c r="L14" s="22"/>
      <c r="N14" s="22"/>
      <c r="O14" s="22"/>
      <c r="P14" s="22"/>
      <c r="R14" s="22"/>
      <c r="S14" s="22"/>
      <c r="T14" s="22"/>
      <c r="V14" s="22"/>
      <c r="W14" s="22"/>
      <c r="X14" s="22"/>
      <c r="Z14" s="22"/>
      <c r="AA14" s="22"/>
      <c r="AB14" s="22"/>
    </row>
    <row r="15" spans="1:36" x14ac:dyDescent="0.2">
      <c r="B15" s="10"/>
      <c r="F15" s="22"/>
      <c r="G15" s="22"/>
      <c r="H15" s="22"/>
      <c r="J15" s="22"/>
      <c r="K15" s="22"/>
      <c r="L15" s="22"/>
      <c r="N15" s="22"/>
      <c r="O15" s="22"/>
      <c r="P15" s="22"/>
      <c r="R15" s="22"/>
      <c r="S15" s="22"/>
      <c r="T15" s="22"/>
      <c r="V15" s="22"/>
      <c r="W15" s="22"/>
      <c r="X15" s="22"/>
      <c r="Z15" s="22"/>
      <c r="AA15" s="22"/>
      <c r="AB15" s="22"/>
    </row>
    <row r="16" spans="1:36" x14ac:dyDescent="0.2">
      <c r="B16" s="10"/>
      <c r="F16" s="22"/>
      <c r="G16" s="22"/>
      <c r="H16" s="22"/>
      <c r="J16" s="22"/>
      <c r="K16" s="22"/>
      <c r="L16" s="22"/>
      <c r="N16" s="22"/>
      <c r="O16" s="22"/>
      <c r="P16" s="22"/>
      <c r="R16" s="22"/>
      <c r="S16" s="22"/>
      <c r="T16" s="22"/>
      <c r="V16" s="22"/>
      <c r="W16" s="22"/>
      <c r="X16" s="22"/>
      <c r="Z16" s="22"/>
      <c r="AA16" s="22"/>
      <c r="AB16" s="22"/>
    </row>
    <row r="17" spans="2:28" x14ac:dyDescent="0.2">
      <c r="B17" s="10"/>
      <c r="F17" s="22"/>
      <c r="G17" s="22"/>
      <c r="H17" s="22"/>
      <c r="J17" s="22"/>
      <c r="K17" s="22"/>
      <c r="L17" s="22"/>
      <c r="N17" s="22"/>
      <c r="O17" s="22"/>
      <c r="P17" s="22"/>
      <c r="R17" s="22"/>
      <c r="S17" s="22"/>
      <c r="T17" s="22"/>
      <c r="V17" s="22"/>
      <c r="W17" s="22"/>
      <c r="X17" s="22"/>
      <c r="Z17" s="22"/>
      <c r="AA17" s="22"/>
      <c r="AB17" s="22"/>
    </row>
    <row r="18" spans="2:28" x14ac:dyDescent="0.2">
      <c r="B18" s="10"/>
      <c r="F18" s="22"/>
      <c r="G18" s="22"/>
      <c r="H18" s="22"/>
      <c r="J18" s="22"/>
      <c r="K18" s="22"/>
      <c r="L18" s="22"/>
      <c r="N18" s="22"/>
      <c r="O18" s="22"/>
      <c r="P18" s="22"/>
      <c r="R18" s="22"/>
      <c r="S18" s="22"/>
      <c r="T18" s="22"/>
      <c r="V18" s="22"/>
      <c r="W18" s="22"/>
      <c r="X18" s="22"/>
      <c r="Z18" s="22"/>
      <c r="AA18" s="22"/>
      <c r="AB18" s="22"/>
    </row>
    <row r="19" spans="2:28" x14ac:dyDescent="0.2">
      <c r="B19" s="10"/>
      <c r="F19" s="22"/>
      <c r="G19" s="22"/>
      <c r="H19" s="22"/>
      <c r="J19" s="22"/>
      <c r="K19" s="22"/>
      <c r="L19" s="22"/>
      <c r="N19" s="22"/>
      <c r="O19" s="22"/>
      <c r="P19" s="22"/>
      <c r="R19" s="22"/>
      <c r="S19" s="22"/>
      <c r="T19" s="22"/>
      <c r="V19" s="22"/>
      <c r="W19" s="22"/>
      <c r="X19" s="22"/>
      <c r="Z19" s="22"/>
      <c r="AA19" s="22"/>
      <c r="AB19" s="22"/>
    </row>
    <row r="20" spans="2:28" x14ac:dyDescent="0.2">
      <c r="B20" s="10"/>
      <c r="F20" s="22"/>
      <c r="G20" s="22"/>
      <c r="H20" s="22"/>
      <c r="J20" s="22"/>
      <c r="K20" s="22"/>
      <c r="L20" s="22"/>
      <c r="N20" s="22"/>
      <c r="O20" s="22"/>
      <c r="P20" s="22"/>
      <c r="R20" s="22"/>
      <c r="S20" s="22"/>
      <c r="T20" s="22"/>
      <c r="V20" s="22"/>
      <c r="W20" s="22"/>
      <c r="X20" s="22"/>
      <c r="Z20" s="22"/>
      <c r="AA20" s="22"/>
      <c r="AB20" s="22"/>
    </row>
    <row r="21" spans="2:28" x14ac:dyDescent="0.2">
      <c r="B21" s="10"/>
      <c r="F21" s="22"/>
      <c r="G21" s="22"/>
      <c r="H21" s="22"/>
      <c r="J21" s="22"/>
      <c r="K21" s="22"/>
      <c r="L21" s="22"/>
      <c r="N21" s="22"/>
      <c r="O21" s="22"/>
      <c r="P21" s="22"/>
      <c r="R21" s="22"/>
      <c r="S21" s="22"/>
      <c r="T21" s="22"/>
      <c r="V21" s="22"/>
      <c r="W21" s="22"/>
      <c r="X21" s="22"/>
      <c r="Z21" s="22"/>
      <c r="AA21" s="22"/>
      <c r="AB21" s="22"/>
    </row>
    <row r="22" spans="2:28" x14ac:dyDescent="0.2">
      <c r="B22" s="10"/>
      <c r="F22" s="22"/>
      <c r="G22" s="22"/>
      <c r="H22" s="22"/>
      <c r="J22" s="22"/>
      <c r="K22" s="22"/>
      <c r="L22" s="22"/>
      <c r="N22" s="22"/>
      <c r="O22" s="22"/>
      <c r="P22" s="22"/>
      <c r="R22" s="22"/>
      <c r="S22" s="22"/>
      <c r="T22" s="22"/>
      <c r="V22" s="22"/>
      <c r="W22" s="22"/>
      <c r="X22" s="22"/>
      <c r="Z22" s="22"/>
      <c r="AA22" s="22"/>
      <c r="AB22" s="22"/>
    </row>
    <row r="23" spans="2:28" x14ac:dyDescent="0.2">
      <c r="B23" s="10"/>
      <c r="F23" s="22"/>
      <c r="G23" s="22"/>
      <c r="H23" s="22"/>
      <c r="J23" s="22"/>
      <c r="K23" s="22"/>
      <c r="L23" s="22"/>
      <c r="N23" s="22"/>
      <c r="O23" s="22"/>
      <c r="P23" s="22"/>
      <c r="R23" s="22"/>
      <c r="S23" s="22"/>
      <c r="T23" s="22"/>
      <c r="V23" s="22"/>
      <c r="W23" s="22"/>
      <c r="X23" s="22"/>
      <c r="Z23" s="22"/>
      <c r="AA23" s="22"/>
      <c r="AB23" s="22"/>
    </row>
  </sheetData>
  <sheetProtection algorithmName="SHA-512" hashValue="KlJ5ysIFCQMIlZrVkVKSl7+PglSTJi6Os853Uk4uEhIYYYpBESJiI1j/B7Dmf9CAR8upyOcCeJ94EU2DPaR5Mw==" saltValue="dsmSk6JM+CaSYJNdHSS2aQ==" spinCount="100000" sheet="1" objects="1" scenarios="1" autoFilter="0"/>
  <autoFilter ref="A1:AJ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5"/>
  <sheetViews>
    <sheetView workbookViewId="0">
      <selection activeCell="A2" sqref="A2"/>
    </sheetView>
  </sheetViews>
  <sheetFormatPr defaultRowHeight="14.25" x14ac:dyDescent="0.2"/>
  <cols>
    <col min="6" max="6" width="12.125" bestFit="1" customWidth="1"/>
    <col min="7" max="7" width="10" bestFit="1" customWidth="1"/>
  </cols>
  <sheetData>
    <row r="1" spans="1:7" x14ac:dyDescent="0.2">
      <c r="A1" s="62" t="s">
        <v>35</v>
      </c>
      <c r="B1" s="62" t="s">
        <v>39</v>
      </c>
      <c r="C1" s="62" t="s">
        <v>36</v>
      </c>
      <c r="D1" s="62" t="s">
        <v>44</v>
      </c>
      <c r="E1" s="62" t="s">
        <v>37</v>
      </c>
      <c r="F1" s="62" t="s">
        <v>32</v>
      </c>
      <c r="G1" s="62" t="s">
        <v>38</v>
      </c>
    </row>
    <row r="2" spans="1:7" x14ac:dyDescent="0.2">
      <c r="A2" s="63" t="s">
        <v>53</v>
      </c>
      <c r="B2" s="63" t="s">
        <v>40</v>
      </c>
      <c r="C2" s="64">
        <f>1</f>
        <v>1</v>
      </c>
      <c r="D2" s="64">
        <v>123</v>
      </c>
      <c r="E2" s="63">
        <v>1</v>
      </c>
      <c r="F2" s="63">
        <v>1</v>
      </c>
      <c r="G2" s="63">
        <v>1</v>
      </c>
    </row>
    <row r="3" spans="1:7" x14ac:dyDescent="0.2">
      <c r="A3" s="63" t="s">
        <v>54</v>
      </c>
      <c r="B3" s="63" t="s">
        <v>41</v>
      </c>
      <c r="C3" s="63">
        <v>2</v>
      </c>
      <c r="D3" s="64">
        <v>123</v>
      </c>
      <c r="E3" s="63">
        <v>1</v>
      </c>
      <c r="F3" s="63">
        <v>1</v>
      </c>
      <c r="G3" s="63">
        <v>0</v>
      </c>
    </row>
    <row r="4" spans="1:7" x14ac:dyDescent="0.2">
      <c r="A4" s="63" t="s">
        <v>55</v>
      </c>
      <c r="B4" s="63" t="s">
        <v>42</v>
      </c>
      <c r="C4" s="63">
        <v>3</v>
      </c>
      <c r="D4" s="64">
        <v>123</v>
      </c>
      <c r="E4" s="63">
        <v>1</v>
      </c>
      <c r="F4" s="63">
        <v>0</v>
      </c>
      <c r="G4" s="63">
        <v>0</v>
      </c>
    </row>
    <row r="5" spans="1:7" x14ac:dyDescent="0.2">
      <c r="A5" s="65" t="s">
        <v>56</v>
      </c>
      <c r="B5" s="65" t="s">
        <v>43</v>
      </c>
      <c r="C5" s="63">
        <v>4</v>
      </c>
      <c r="D5" s="64">
        <v>123</v>
      </c>
      <c r="E5" s="65">
        <v>0</v>
      </c>
      <c r="F5" s="65">
        <v>1</v>
      </c>
      <c r="G5" s="65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IMPRESSÃO</vt:lpstr>
      <vt:lpstr>LANÇAMENTOS</vt:lpstr>
      <vt:lpstr>BD</vt:lpstr>
      <vt:lpstr>DADOS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Terminal17</cp:lastModifiedBy>
  <cp:lastPrinted>2024-05-28T11:19:18Z</cp:lastPrinted>
  <dcterms:created xsi:type="dcterms:W3CDTF">2024-04-12T19:10:29Z</dcterms:created>
  <dcterms:modified xsi:type="dcterms:W3CDTF">2024-06-03T13:21:43Z</dcterms:modified>
</cp:coreProperties>
</file>