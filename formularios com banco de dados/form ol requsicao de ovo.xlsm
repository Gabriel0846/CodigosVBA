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Terminal17\Documents\GitHub\CodigosVBA\formularios com banco de dados\"/>
    </mc:Choice>
  </mc:AlternateContent>
  <bookViews>
    <workbookView xWindow="-120" yWindow="-120" windowWidth="20640" windowHeight="11160"/>
  </bookViews>
  <sheets>
    <sheet name="IMPRESSÃO" sheetId="5" r:id="rId1"/>
    <sheet name="LANÇAMENTOS" sheetId="1" r:id="rId2"/>
    <sheet name="BD" sheetId="2" r:id="rId3"/>
  </sheets>
  <definedNames>
    <definedName name="_xlnm._FilterDatabase" localSheetId="2" hidden="1">BD!$A$1:$AG$1</definedName>
    <definedName name="_xlnm.Print_Area" localSheetId="1">LANÇAMENTOS!$A$1:$H$26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7" i="5" l="1"/>
  <c r="M6" i="1" l="1"/>
  <c r="AO2" i="1" l="1"/>
  <c r="AS2" i="1" l="1"/>
  <c r="AR2" i="1"/>
  <c r="AQ2" i="1"/>
  <c r="AP2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 l="1"/>
  <c r="P2" i="1"/>
  <c r="O2" i="1"/>
  <c r="N2" i="1"/>
  <c r="M4" i="1" l="1"/>
  <c r="M2" i="1"/>
  <c r="AN4" i="1" l="1"/>
  <c r="AS4" i="1"/>
  <c r="X4" i="1"/>
  <c r="AC4" i="1"/>
  <c r="AP4" i="1"/>
  <c r="AD4" i="1"/>
  <c r="Q4" i="1"/>
  <c r="AI4" i="1"/>
  <c r="R4" i="1"/>
  <c r="AJ4" i="1"/>
  <c r="W4" i="1"/>
  <c r="AO4" i="1"/>
  <c r="S4" i="1"/>
  <c r="Y4" i="1"/>
  <c r="AE4" i="1"/>
  <c r="AK4" i="1"/>
  <c r="AQ4" i="1"/>
  <c r="N4" i="1"/>
  <c r="T4" i="1"/>
  <c r="Z4" i="1"/>
  <c r="AF4" i="1"/>
  <c r="AL4" i="1"/>
  <c r="AR4" i="1"/>
  <c r="O4" i="1"/>
  <c r="U4" i="1"/>
  <c r="AA4" i="1"/>
  <c r="AG4" i="1"/>
  <c r="AM4" i="1"/>
  <c r="P4" i="1"/>
  <c r="V4" i="1"/>
  <c r="AB4" i="1"/>
  <c r="AH4" i="1"/>
</calcChain>
</file>

<file path=xl/sharedStrings.xml><?xml version="1.0" encoding="utf-8"?>
<sst xmlns="http://schemas.openxmlformats.org/spreadsheetml/2006/main" count="155" uniqueCount="36">
  <si>
    <t>REQUISIÇÃO DE OVO IN NATURA - SETOR OVO LIQUIDO</t>
  </si>
  <si>
    <t>PRODUÇÃO:</t>
  </si>
  <si>
    <t>VENDAS</t>
  </si>
  <si>
    <t>LOTES</t>
  </si>
  <si>
    <t>TIPO</t>
  </si>
  <si>
    <t>OL</t>
  </si>
  <si>
    <t>MTQ</t>
  </si>
  <si>
    <t>SOLICITAÇÃO:</t>
  </si>
  <si>
    <t>DATA:</t>
  </si>
  <si>
    <t>SETOR DE VENDAS</t>
  </si>
  <si>
    <t>OVO DISPONÍVEL:</t>
  </si>
  <si>
    <t>TT DE CXS:</t>
  </si>
  <si>
    <t>OBSERVAÇÕES:</t>
  </si>
  <si>
    <t>PA</t>
  </si>
  <si>
    <t>LIMPAR</t>
  </si>
  <si>
    <t>SALVAR</t>
  </si>
  <si>
    <t>num da requisição</t>
  </si>
  <si>
    <t>data</t>
  </si>
  <si>
    <t>produção</t>
  </si>
  <si>
    <t>solicitação</t>
  </si>
  <si>
    <t>ovo disponivel</t>
  </si>
  <si>
    <t>tipo</t>
  </si>
  <si>
    <t>lotes</t>
  </si>
  <si>
    <t>QUANT</t>
  </si>
  <si>
    <t>quant</t>
  </si>
  <si>
    <t>tt de cxs</t>
  </si>
  <si>
    <t>observação</t>
  </si>
  <si>
    <t>visto vendas</t>
  </si>
  <si>
    <t>visto OL</t>
  </si>
  <si>
    <t>visto MTQ</t>
  </si>
  <si>
    <t>visto PA</t>
  </si>
  <si>
    <t>VISTOS:</t>
  </si>
  <si>
    <t>CONSULTAR</t>
  </si>
  <si>
    <t>NOVO</t>
  </si>
  <si>
    <t xml:space="preserve"> </t>
  </si>
  <si>
    <t>VISTOS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</si>
</sst>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i/>
      <sz val="11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indexed="64"/>
      </right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/>
      <bottom style="hair">
        <color auto="1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hair">
        <color auto="1"/>
      </bottom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6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7" xfId="0" applyFont="1" applyBorder="1"/>
    <xf numFmtId="0" fontId="0" fillId="0" borderId="8" xfId="0" applyBorder="1"/>
    <xf numFmtId="0" fontId="0" fillId="0" borderId="7" xfId="0" applyBorder="1"/>
    <xf numFmtId="14" fontId="0" fillId="0" borderId="0" xfId="0" applyNumberFormat="1"/>
    <xf numFmtId="0" fontId="2" fillId="0" borderId="7" xfId="0" applyFont="1" applyBorder="1"/>
    <xf numFmtId="0" fontId="7" fillId="0" borderId="0" xfId="0" applyFont="1" applyAlignment="1">
      <alignment horizont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6" fillId="0" borderId="7" xfId="0" applyFont="1" applyBorder="1" applyAlignment="1">
      <alignment vertical="center"/>
    </xf>
    <xf numFmtId="14" fontId="0" fillId="0" borderId="0" xfId="0" applyNumberFormat="1" applyBorder="1" applyAlignment="1"/>
    <xf numFmtId="0" fontId="0" fillId="0" borderId="0" xfId="0" applyBorder="1"/>
    <xf numFmtId="0" fontId="1" fillId="0" borderId="20" xfId="0" applyFont="1" applyBorder="1" applyAlignment="1">
      <alignment horizontal="center" vertical="center"/>
    </xf>
    <xf numFmtId="0" fontId="0" fillId="0" borderId="6" xfId="0" applyBorder="1"/>
    <xf numFmtId="0" fontId="1" fillId="0" borderId="0" xfId="0" applyFont="1" applyBorder="1" applyAlignment="1">
      <alignment horizontal="right"/>
    </xf>
    <xf numFmtId="49" fontId="0" fillId="0" borderId="0" xfId="0" applyNumberFormat="1"/>
    <xf numFmtId="0" fontId="1" fillId="0" borderId="7" xfId="0" applyFont="1" applyBorder="1" applyAlignment="1">
      <alignment horizontal="right"/>
    </xf>
    <xf numFmtId="0" fontId="0" fillId="2" borderId="21" xfId="0" applyFill="1" applyBorder="1"/>
    <xf numFmtId="0" fontId="0" fillId="0" borderId="0" xfId="0" applyNumberFormat="1"/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0" fontId="3" fillId="0" borderId="1" xfId="0" applyFont="1" applyBorder="1" applyAlignment="1" applyProtection="1">
      <alignment horizontal="left"/>
      <protection locked="0"/>
    </xf>
    <xf numFmtId="49" fontId="4" fillId="0" borderId="19" xfId="0" applyNumberFormat="1" applyFont="1" applyBorder="1" applyAlignment="1" applyProtection="1">
      <alignment horizontal="center"/>
      <protection locked="0"/>
    </xf>
    <xf numFmtId="49" fontId="3" fillId="0" borderId="19" xfId="0" applyNumberFormat="1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0" borderId="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3" fillId="0" borderId="1" xfId="0" applyFont="1" applyBorder="1" applyAlignment="1" applyProtection="1">
      <alignment horizontal="left"/>
      <protection locked="0"/>
    </xf>
    <xf numFmtId="0" fontId="3" fillId="0" borderId="18" xfId="0" applyFont="1" applyBorder="1" applyAlignment="1" applyProtection="1">
      <alignment horizontal="left"/>
      <protection locked="0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0" fontId="0" fillId="0" borderId="24" xfId="0" applyBorder="1" applyAlignment="1" applyProtection="1">
      <alignment horizontal="left" vertical="center" wrapText="1"/>
      <protection locked="0"/>
    </xf>
    <xf numFmtId="0" fontId="0" fillId="0" borderId="22" xfId="0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left" vertical="center" wrapText="1"/>
      <protection locked="0"/>
    </xf>
    <xf numFmtId="0" fontId="0" fillId="0" borderId="25" xfId="0" applyBorder="1" applyAlignment="1" applyProtection="1">
      <alignment horizontal="left" vertical="center" wrapText="1"/>
      <protection locked="0"/>
    </xf>
    <xf numFmtId="0" fontId="0" fillId="0" borderId="0" xfId="0" applyBorder="1" applyAlignment="1" applyProtection="1">
      <alignment horizontal="left" vertical="center" wrapText="1"/>
      <protection locked="0"/>
    </xf>
    <xf numFmtId="0" fontId="0" fillId="0" borderId="8" xfId="0" applyBorder="1" applyAlignment="1" applyProtection="1">
      <alignment horizontal="left" vertical="center" wrapText="1"/>
      <protection locked="0"/>
    </xf>
    <xf numFmtId="0" fontId="0" fillId="0" borderId="26" xfId="0" applyBorder="1" applyAlignment="1" applyProtection="1">
      <alignment horizontal="left" vertical="center" wrapText="1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0" fontId="0" fillId="0" borderId="11" xfId="0" applyBorder="1" applyAlignment="1" applyProtection="1">
      <alignment horizontal="left" vertical="center" wrapText="1"/>
      <protection locked="0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14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0" fillId="0" borderId="0" xfId="0" applyNumberFormat="1" applyProtection="1"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vertical="center"/>
      <protection locked="0"/>
    </xf>
    <xf numFmtId="0" fontId="5" fillId="0" borderId="6" xfId="0" applyFont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16" xfId="0" applyFont="1" applyBorder="1" applyAlignment="1" applyProtection="1">
      <alignment horizontal="center" vertical="center"/>
      <protection locked="0"/>
    </xf>
    <xf numFmtId="0" fontId="1" fillId="0" borderId="7" xfId="0" applyFont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0" borderId="8" xfId="0" applyFont="1" applyBorder="1" applyAlignment="1" applyProtection="1">
      <alignment horizontal="center" vertical="center"/>
      <protection locked="0"/>
    </xf>
    <xf numFmtId="0" fontId="1" fillId="0" borderId="7" xfId="0" applyFont="1" applyBorder="1" applyProtection="1">
      <protection locked="0"/>
    </xf>
    <xf numFmtId="0" fontId="0" fillId="0" borderId="8" xfId="0" applyBorder="1" applyProtection="1">
      <protection locked="0"/>
    </xf>
    <xf numFmtId="0" fontId="0" fillId="0" borderId="7" xfId="0" applyBorder="1" applyProtection="1">
      <protection locked="0"/>
    </xf>
    <xf numFmtId="0" fontId="1" fillId="0" borderId="9" xfId="0" applyFont="1" applyBorder="1" applyAlignment="1" applyProtection="1">
      <alignment horizontal="center"/>
      <protection locked="0"/>
    </xf>
    <xf numFmtId="0" fontId="1" fillId="0" borderId="3" xfId="0" applyFont="1" applyBorder="1" applyAlignment="1" applyProtection="1">
      <alignment horizontal="center"/>
      <protection locked="0"/>
    </xf>
    <xf numFmtId="0" fontId="1" fillId="0" borderId="10" xfId="0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2" fillId="0" borderId="7" xfId="0" applyFont="1" applyBorder="1" applyProtection="1">
      <protection locked="0"/>
    </xf>
    <xf numFmtId="49" fontId="3" fillId="0" borderId="1" xfId="0" applyNumberFormat="1" applyFont="1" applyBorder="1" applyAlignment="1" applyProtection="1">
      <alignment horizontal="center"/>
      <protection locked="0"/>
    </xf>
    <xf numFmtId="49" fontId="4" fillId="0" borderId="1" xfId="0" applyNumberFormat="1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left"/>
      <protection locked="0"/>
    </xf>
    <xf numFmtId="49" fontId="3" fillId="0" borderId="0" xfId="0" applyNumberFormat="1" applyFont="1" applyAlignment="1" applyProtection="1">
      <alignment horizontal="center"/>
      <protection locked="0"/>
    </xf>
    <xf numFmtId="49" fontId="4" fillId="0" borderId="0" xfId="0" applyNumberFormat="1" applyFont="1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8" fillId="0" borderId="7" xfId="0" applyFont="1" applyBorder="1" applyProtection="1"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27" xfId="0" applyBorder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6" fillId="0" borderId="7" xfId="0" applyFont="1" applyBorder="1" applyAlignment="1" applyProtection="1">
      <alignment vertical="center"/>
      <protection locked="0"/>
    </xf>
    <xf numFmtId="0" fontId="1" fillId="0" borderId="0" xfId="0" applyFont="1" applyProtection="1">
      <protection locked="0"/>
    </xf>
    <xf numFmtId="0" fontId="1" fillId="0" borderId="12" xfId="0" applyFont="1" applyBorder="1" applyAlignment="1" applyProtection="1">
      <alignment horizontal="center" vertical="center"/>
      <protection locked="0"/>
    </xf>
    <xf numFmtId="0" fontId="1" fillId="0" borderId="13" xfId="0" applyFont="1" applyBorder="1" applyAlignment="1" applyProtection="1">
      <alignment horizontal="center" vertical="center"/>
      <protection locked="0"/>
    </xf>
    <xf numFmtId="0" fontId="1" fillId="0" borderId="14" xfId="0" applyFont="1" applyBorder="1" applyAlignment="1" applyProtection="1">
      <alignment horizontal="center" vertical="center"/>
      <protection locked="0"/>
    </xf>
    <xf numFmtId="0" fontId="5" fillId="0" borderId="28" xfId="0" applyFont="1" applyBorder="1" applyAlignment="1" applyProtection="1">
      <alignment horizontal="center" vertical="center"/>
      <protection locked="0"/>
    </xf>
    <xf numFmtId="1" fontId="5" fillId="0" borderId="15" xfId="0" applyNumberFormat="1" applyFont="1" applyBorder="1" applyAlignment="1" applyProtection="1">
      <alignment horizontal="center" vertical="center"/>
      <protection locked="0"/>
    </xf>
    <xf numFmtId="0" fontId="5" fillId="0" borderId="29" xfId="0" applyFont="1" applyBorder="1" applyAlignment="1" applyProtection="1">
      <alignment horizontal="center" vertical="center"/>
      <protection locked="0"/>
    </xf>
    <xf numFmtId="1" fontId="5" fillId="0" borderId="16" xfId="0" applyNumberFormat="1" applyFont="1" applyBorder="1" applyAlignment="1" applyProtection="1">
      <alignment horizontal="center" vertical="center"/>
      <protection locked="0"/>
    </xf>
    <xf numFmtId="0" fontId="0" fillId="0" borderId="1" xfId="0" applyBorder="1" applyProtection="1">
      <protection locked="0"/>
    </xf>
    <xf numFmtId="0" fontId="0" fillId="0" borderId="11" xfId="0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571500</xdr:colOff>
      <xdr:row>13</xdr:row>
      <xdr:rowOff>123825</xdr:rowOff>
    </xdr:from>
    <xdr:to>
      <xdr:col>10</xdr:col>
      <xdr:colOff>85725</xdr:colOff>
      <xdr:row>17</xdr:row>
      <xdr:rowOff>152400</xdr:rowOff>
    </xdr:to>
    <xdr:sp macro="[0]!LIMPAR" textlink="">
      <xdr:nvSpPr>
        <xdr:cNvPr id="2" name="Multiplicar 1"/>
        <xdr:cNvSpPr/>
      </xdr:nvSpPr>
      <xdr:spPr>
        <a:xfrm>
          <a:off x="7829550" y="2543175"/>
          <a:ext cx="885825" cy="790575"/>
        </a:xfrm>
        <a:prstGeom prst="mathMultiply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38099</xdr:colOff>
      <xdr:row>6</xdr:row>
      <xdr:rowOff>0</xdr:rowOff>
    </xdr:from>
    <xdr:to>
      <xdr:col>9</xdr:col>
      <xdr:colOff>647700</xdr:colOff>
      <xdr:row>9</xdr:row>
      <xdr:rowOff>47625</xdr:rowOff>
    </xdr:to>
    <xdr:sp macro="[0]!SALVAR" textlink="">
      <xdr:nvSpPr>
        <xdr:cNvPr id="3" name="Seta para a Direita 2"/>
        <xdr:cNvSpPr/>
      </xdr:nvSpPr>
      <xdr:spPr>
        <a:xfrm>
          <a:off x="7981949" y="1104900"/>
          <a:ext cx="609601" cy="600075"/>
        </a:xfrm>
        <a:prstGeom prst="rightArrow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9525</xdr:colOff>
      <xdr:row>10</xdr:row>
      <xdr:rowOff>114300</xdr:rowOff>
    </xdr:from>
    <xdr:to>
      <xdr:col>9</xdr:col>
      <xdr:colOff>657225</xdr:colOff>
      <xdr:row>13</xdr:row>
      <xdr:rowOff>123825</xdr:rowOff>
    </xdr:to>
    <xdr:sp macro="[0]!CONSULTA" textlink="">
      <xdr:nvSpPr>
        <xdr:cNvPr id="5" name="Fluxograma: Vários Documentos 4"/>
        <xdr:cNvSpPr/>
      </xdr:nvSpPr>
      <xdr:spPr>
        <a:xfrm>
          <a:off x="7953375" y="1962150"/>
          <a:ext cx="647700" cy="581025"/>
        </a:xfrm>
        <a:prstGeom prst="flowChartMultidocumen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600075</xdr:colOff>
      <xdr:row>1</xdr:row>
      <xdr:rowOff>76199</xdr:rowOff>
    </xdr:from>
    <xdr:to>
      <xdr:col>10</xdr:col>
      <xdr:colOff>38100</xdr:colOff>
      <xdr:row>5</xdr:row>
      <xdr:rowOff>114299</xdr:rowOff>
    </xdr:to>
    <xdr:sp macro="[0]!NOVO" textlink="">
      <xdr:nvSpPr>
        <xdr:cNvPr id="7" name="Mais 6"/>
        <xdr:cNvSpPr/>
      </xdr:nvSpPr>
      <xdr:spPr>
        <a:xfrm>
          <a:off x="7858125" y="257174"/>
          <a:ext cx="809625" cy="771525"/>
        </a:xfrm>
        <a:prstGeom prst="mathPlus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1"/>
  <sheetViews>
    <sheetView showGridLines="0" tabSelected="1" zoomScaleNormal="100" workbookViewId="0">
      <selection activeCell="F25" sqref="F25"/>
    </sheetView>
  </sheetViews>
  <sheetFormatPr defaultRowHeight="14.25" x14ac:dyDescent="0.2"/>
  <cols>
    <col min="1" max="1" width="18.25" style="58" customWidth="1"/>
    <col min="2" max="7" width="11" style="58" customWidth="1"/>
    <col min="8" max="16384" width="9" style="58"/>
  </cols>
  <sheetData>
    <row r="1" spans="1:9" ht="14.25" customHeight="1" x14ac:dyDescent="0.2">
      <c r="A1" s="61" t="s">
        <v>0</v>
      </c>
      <c r="B1" s="62"/>
      <c r="C1" s="62"/>
      <c r="D1" s="62"/>
      <c r="E1" s="62"/>
      <c r="F1" s="62"/>
      <c r="G1" s="63">
        <v>1</v>
      </c>
      <c r="H1" s="64"/>
      <c r="I1" s="64"/>
    </row>
    <row r="2" spans="1:9" ht="14.25" customHeight="1" x14ac:dyDescent="0.2">
      <c r="A2" s="65"/>
      <c r="B2" s="66"/>
      <c r="C2" s="66"/>
      <c r="D2" s="66"/>
      <c r="E2" s="66"/>
      <c r="F2" s="66"/>
      <c r="G2" s="67"/>
      <c r="H2" s="64"/>
      <c r="I2" s="64"/>
    </row>
    <row r="3" spans="1:9" ht="14.25" customHeight="1" x14ac:dyDescent="0.2">
      <c r="A3" s="68"/>
      <c r="B3" s="69"/>
      <c r="C3" s="69"/>
      <c r="D3" s="69"/>
      <c r="E3" s="69"/>
      <c r="F3" s="69"/>
      <c r="G3" s="70"/>
      <c r="H3" s="64"/>
      <c r="I3" s="64"/>
    </row>
    <row r="4" spans="1:9" ht="14.25" customHeight="1" x14ac:dyDescent="0.2">
      <c r="A4" s="68"/>
      <c r="B4" s="69"/>
      <c r="C4" s="69"/>
      <c r="D4" s="69"/>
      <c r="E4" s="69"/>
      <c r="F4" s="69"/>
      <c r="G4" s="70"/>
      <c r="H4" s="64"/>
      <c r="I4" s="64"/>
    </row>
    <row r="5" spans="1:9" ht="15" x14ac:dyDescent="0.25">
      <c r="A5" s="71" t="s">
        <v>8</v>
      </c>
      <c r="B5" s="55"/>
      <c r="C5" s="55"/>
      <c r="D5" s="55"/>
      <c r="E5" s="55"/>
      <c r="G5" s="72"/>
    </row>
    <row r="6" spans="1:9" ht="15" x14ac:dyDescent="0.25">
      <c r="A6" s="71" t="s">
        <v>1</v>
      </c>
      <c r="B6" s="57"/>
      <c r="C6" s="57"/>
      <c r="D6" s="57"/>
      <c r="E6" s="57"/>
      <c r="G6" s="72"/>
    </row>
    <row r="7" spans="1:9" ht="15" x14ac:dyDescent="0.25">
      <c r="A7" s="71" t="s">
        <v>7</v>
      </c>
      <c r="B7" s="57"/>
      <c r="C7" s="57"/>
      <c r="D7" s="57"/>
      <c r="E7" s="57"/>
      <c r="G7" s="72"/>
    </row>
    <row r="8" spans="1:9" x14ac:dyDescent="0.2">
      <c r="A8" s="73"/>
      <c r="B8" s="59"/>
      <c r="G8" s="72"/>
    </row>
    <row r="9" spans="1:9" x14ac:dyDescent="0.2">
      <c r="A9" s="73"/>
      <c r="G9" s="72"/>
    </row>
    <row r="10" spans="1:9" ht="15" x14ac:dyDescent="0.25">
      <c r="A10" s="74" t="s">
        <v>9</v>
      </c>
      <c r="B10" s="75"/>
      <c r="C10" s="75"/>
      <c r="D10" s="75"/>
      <c r="E10" s="75"/>
      <c r="F10" s="75"/>
      <c r="G10" s="76"/>
    </row>
    <row r="11" spans="1:9" ht="15" x14ac:dyDescent="0.25">
      <c r="A11" s="73"/>
      <c r="E11" s="77" t="s">
        <v>4</v>
      </c>
      <c r="F11" s="77" t="s">
        <v>3</v>
      </c>
      <c r="G11" s="72"/>
    </row>
    <row r="12" spans="1:9" ht="15" x14ac:dyDescent="0.25">
      <c r="A12" s="78" t="s">
        <v>10</v>
      </c>
      <c r="B12" s="35"/>
      <c r="C12" s="35"/>
      <c r="D12" s="35"/>
      <c r="E12" s="79"/>
      <c r="F12" s="80"/>
      <c r="G12" s="72"/>
    </row>
    <row r="13" spans="1:9" ht="15" x14ac:dyDescent="0.25">
      <c r="A13" s="78" t="s">
        <v>11</v>
      </c>
      <c r="B13" s="35"/>
      <c r="C13" s="35"/>
      <c r="D13" s="35"/>
      <c r="E13" s="79"/>
      <c r="F13" s="80"/>
      <c r="G13" s="72"/>
    </row>
    <row r="14" spans="1:9" ht="15" x14ac:dyDescent="0.25">
      <c r="A14" s="78"/>
      <c r="B14" s="81"/>
      <c r="C14" s="81"/>
      <c r="D14" s="81"/>
      <c r="E14" s="82"/>
      <c r="F14" s="83"/>
      <c r="G14" s="72"/>
    </row>
    <row r="15" spans="1:9" ht="15" x14ac:dyDescent="0.25">
      <c r="A15" s="78"/>
      <c r="B15" s="84"/>
      <c r="C15" s="84"/>
      <c r="D15" s="84"/>
      <c r="E15" s="85"/>
      <c r="F15" s="85"/>
      <c r="G15" s="72"/>
    </row>
    <row r="16" spans="1:9" x14ac:dyDescent="0.2">
      <c r="A16" s="86"/>
      <c r="G16" s="72"/>
    </row>
    <row r="17" spans="1:8" x14ac:dyDescent="0.2">
      <c r="A17" s="73"/>
      <c r="G17" s="72"/>
    </row>
    <row r="18" spans="1:8" x14ac:dyDescent="0.2">
      <c r="A18" s="87"/>
      <c r="B18" s="88"/>
      <c r="C18" s="88"/>
      <c r="D18" s="88"/>
      <c r="E18" s="88"/>
      <c r="F18" s="88"/>
      <c r="G18" s="89"/>
    </row>
    <row r="19" spans="1:8" ht="15" x14ac:dyDescent="0.25">
      <c r="A19" s="71" t="s">
        <v>12</v>
      </c>
      <c r="B19" s="56"/>
      <c r="C19" s="56"/>
      <c r="D19" s="56"/>
      <c r="E19" s="56"/>
      <c r="F19" s="56"/>
      <c r="G19" s="90"/>
    </row>
    <row r="20" spans="1:8" x14ac:dyDescent="0.2">
      <c r="A20" s="73"/>
      <c r="B20" s="57"/>
      <c r="C20" s="57"/>
      <c r="D20" s="57"/>
      <c r="E20" s="57"/>
      <c r="F20" s="57"/>
      <c r="G20" s="91"/>
    </row>
    <row r="21" spans="1:8" x14ac:dyDescent="0.2">
      <c r="A21" s="73"/>
      <c r="B21" s="57"/>
      <c r="C21" s="57"/>
      <c r="D21" s="57"/>
      <c r="E21" s="57"/>
      <c r="F21" s="57"/>
      <c r="G21" s="91"/>
    </row>
    <row r="22" spans="1:8" ht="15.75" x14ac:dyDescent="0.25">
      <c r="A22" s="73"/>
      <c r="B22" s="92"/>
      <c r="C22" s="92"/>
      <c r="D22" s="92"/>
      <c r="E22" s="92"/>
      <c r="F22" s="93"/>
      <c r="G22" s="94"/>
    </row>
    <row r="23" spans="1:8" ht="15" x14ac:dyDescent="0.25">
      <c r="A23" s="95"/>
      <c r="B23" s="96"/>
      <c r="C23" s="96"/>
      <c r="D23" s="96"/>
      <c r="E23" s="96"/>
      <c r="G23" s="72"/>
    </row>
    <row r="24" spans="1:8" ht="14.25" customHeight="1" x14ac:dyDescent="0.25">
      <c r="A24" s="73" t="s">
        <v>35</v>
      </c>
      <c r="C24" s="77" t="s">
        <v>2</v>
      </c>
      <c r="D24" s="77" t="s">
        <v>5</v>
      </c>
      <c r="E24" s="77" t="s">
        <v>6</v>
      </c>
      <c r="F24" s="77" t="s">
        <v>13</v>
      </c>
      <c r="G24" s="72"/>
      <c r="H24" s="69"/>
    </row>
    <row r="25" spans="1:8" ht="14.25" customHeight="1" x14ac:dyDescent="0.2">
      <c r="A25" s="73"/>
      <c r="G25" s="72"/>
      <c r="H25" s="69"/>
    </row>
    <row r="26" spans="1:8" ht="15.75" thickBot="1" x14ac:dyDescent="0.25">
      <c r="A26" s="97"/>
      <c r="B26" s="98"/>
      <c r="C26" s="98"/>
      <c r="D26" s="98"/>
      <c r="E26" s="98"/>
      <c r="F26" s="98"/>
      <c r="G26" s="99"/>
    </row>
    <row r="27" spans="1:8" ht="14.25" customHeight="1" x14ac:dyDescent="0.2">
      <c r="A27" s="61" t="s">
        <v>0</v>
      </c>
      <c r="B27" s="62"/>
      <c r="C27" s="62"/>
      <c r="D27" s="62"/>
      <c r="E27" s="62"/>
      <c r="F27" s="100"/>
      <c r="G27" s="101">
        <f>G1</f>
        <v>1</v>
      </c>
    </row>
    <row r="28" spans="1:8" ht="14.25" customHeight="1" x14ac:dyDescent="0.2">
      <c r="A28" s="65"/>
      <c r="B28" s="66"/>
      <c r="C28" s="66"/>
      <c r="D28" s="66"/>
      <c r="E28" s="66"/>
      <c r="F28" s="102"/>
      <c r="G28" s="103"/>
    </row>
    <row r="29" spans="1:8" ht="15" x14ac:dyDescent="0.2">
      <c r="A29" s="68"/>
      <c r="B29" s="69"/>
      <c r="C29" s="69"/>
      <c r="D29" s="69"/>
      <c r="E29" s="69"/>
      <c r="F29" s="69"/>
      <c r="G29" s="70"/>
    </row>
    <row r="30" spans="1:8" ht="15" x14ac:dyDescent="0.2">
      <c r="A30" s="68"/>
      <c r="B30" s="69"/>
      <c r="C30" s="69"/>
      <c r="D30" s="69"/>
      <c r="E30" s="69"/>
      <c r="F30" s="69"/>
      <c r="G30" s="70"/>
    </row>
    <row r="31" spans="1:8" ht="15" x14ac:dyDescent="0.25">
      <c r="A31" s="71" t="s">
        <v>8</v>
      </c>
      <c r="B31" s="55"/>
      <c r="C31" s="55"/>
      <c r="D31" s="55"/>
      <c r="G31" s="72"/>
    </row>
    <row r="32" spans="1:8" ht="15" x14ac:dyDescent="0.25">
      <c r="A32" s="71" t="s">
        <v>1</v>
      </c>
      <c r="B32" s="57"/>
      <c r="C32" s="57"/>
      <c r="D32" s="57"/>
      <c r="G32" s="72"/>
    </row>
    <row r="33" spans="1:7" ht="15" x14ac:dyDescent="0.25">
      <c r="A33" s="71" t="s">
        <v>7</v>
      </c>
      <c r="B33" s="57"/>
      <c r="C33" s="57"/>
      <c r="D33" s="57"/>
      <c r="G33" s="72"/>
    </row>
    <row r="34" spans="1:7" x14ac:dyDescent="0.2">
      <c r="A34" s="73"/>
      <c r="B34" s="59"/>
      <c r="G34" s="72"/>
    </row>
    <row r="35" spans="1:7" x14ac:dyDescent="0.2">
      <c r="A35" s="73"/>
      <c r="G35" s="72"/>
    </row>
    <row r="36" spans="1:7" ht="15" x14ac:dyDescent="0.25">
      <c r="A36" s="74" t="s">
        <v>9</v>
      </c>
      <c r="B36" s="75"/>
      <c r="C36" s="75"/>
      <c r="D36" s="75"/>
      <c r="E36" s="75"/>
      <c r="F36" s="75"/>
      <c r="G36" s="76"/>
    </row>
    <row r="37" spans="1:7" ht="15" x14ac:dyDescent="0.25">
      <c r="A37" s="73"/>
      <c r="E37" s="77" t="s">
        <v>4</v>
      </c>
      <c r="F37" s="77" t="s">
        <v>3</v>
      </c>
      <c r="G37" s="72"/>
    </row>
    <row r="38" spans="1:7" ht="15" x14ac:dyDescent="0.25">
      <c r="A38" s="78" t="s">
        <v>10</v>
      </c>
      <c r="B38" s="35"/>
      <c r="C38" s="35"/>
      <c r="D38" s="35"/>
      <c r="E38" s="79"/>
      <c r="F38" s="80"/>
      <c r="G38" s="72"/>
    </row>
    <row r="39" spans="1:7" ht="15" x14ac:dyDescent="0.25">
      <c r="A39" s="78"/>
      <c r="B39" s="35"/>
      <c r="C39" s="35"/>
      <c r="D39" s="35"/>
      <c r="E39" s="79"/>
      <c r="F39" s="80"/>
      <c r="G39" s="72"/>
    </row>
    <row r="40" spans="1:7" ht="15" x14ac:dyDescent="0.25">
      <c r="A40" s="78"/>
      <c r="B40" s="28"/>
      <c r="C40" s="28"/>
      <c r="D40" s="28"/>
      <c r="E40" s="79"/>
      <c r="F40" s="80"/>
      <c r="G40" s="72"/>
    </row>
    <row r="41" spans="1:7" ht="15" x14ac:dyDescent="0.25">
      <c r="A41" s="78"/>
      <c r="B41" s="84"/>
      <c r="C41" s="84"/>
      <c r="D41" s="84"/>
      <c r="E41" s="85"/>
      <c r="F41" s="85"/>
      <c r="G41" s="72"/>
    </row>
    <row r="42" spans="1:7" ht="15" x14ac:dyDescent="0.25">
      <c r="A42" s="78" t="s">
        <v>11</v>
      </c>
      <c r="B42" s="104"/>
      <c r="C42" s="104"/>
      <c r="G42" s="72"/>
    </row>
    <row r="43" spans="1:7" x14ac:dyDescent="0.2">
      <c r="A43" s="73"/>
      <c r="G43" s="72"/>
    </row>
    <row r="44" spans="1:7" x14ac:dyDescent="0.2">
      <c r="A44" s="87"/>
      <c r="B44" s="88"/>
      <c r="C44" s="88"/>
      <c r="D44" s="88"/>
      <c r="E44" s="88"/>
      <c r="F44" s="88"/>
      <c r="G44" s="89"/>
    </row>
    <row r="45" spans="1:7" ht="15" x14ac:dyDescent="0.25">
      <c r="A45" s="71" t="s">
        <v>12</v>
      </c>
      <c r="B45" s="104"/>
      <c r="C45" s="104"/>
      <c r="D45" s="104"/>
      <c r="E45" s="104"/>
      <c r="F45" s="104"/>
      <c r="G45" s="105"/>
    </row>
    <row r="46" spans="1:7" x14ac:dyDescent="0.2">
      <c r="A46" s="73"/>
      <c r="B46" s="104"/>
      <c r="C46" s="104"/>
      <c r="D46" s="104"/>
      <c r="E46" s="104"/>
      <c r="F46" s="104"/>
      <c r="G46" s="105"/>
    </row>
    <row r="47" spans="1:7" x14ac:dyDescent="0.2">
      <c r="A47" s="73"/>
      <c r="B47" s="104"/>
      <c r="C47" s="104"/>
      <c r="D47" s="104"/>
      <c r="E47" s="104"/>
      <c r="F47" s="104"/>
      <c r="G47" s="105"/>
    </row>
    <row r="48" spans="1:7" ht="15.75" x14ac:dyDescent="0.25">
      <c r="A48" s="73"/>
      <c r="B48" s="92"/>
      <c r="C48" s="92"/>
      <c r="D48" s="92"/>
      <c r="E48" s="92"/>
      <c r="F48" s="93"/>
      <c r="G48" s="94"/>
    </row>
    <row r="49" spans="1:7" ht="15" x14ac:dyDescent="0.25">
      <c r="A49" s="73" t="s">
        <v>35</v>
      </c>
      <c r="C49" s="77" t="s">
        <v>2</v>
      </c>
      <c r="D49" s="77" t="s">
        <v>5</v>
      </c>
      <c r="E49" s="77" t="s">
        <v>6</v>
      </c>
      <c r="F49" s="77" t="s">
        <v>13</v>
      </c>
      <c r="G49" s="72"/>
    </row>
    <row r="50" spans="1:7" x14ac:dyDescent="0.2">
      <c r="A50" s="73"/>
      <c r="G50" s="72"/>
    </row>
    <row r="51" spans="1:7" ht="15.75" thickBot="1" x14ac:dyDescent="0.25">
      <c r="A51" s="97"/>
      <c r="B51" s="98"/>
      <c r="C51" s="98"/>
      <c r="D51" s="98"/>
      <c r="E51" s="98"/>
      <c r="F51" s="98"/>
      <c r="G51" s="99"/>
    </row>
  </sheetData>
  <mergeCells count="21">
    <mergeCell ref="B38:D38"/>
    <mergeCell ref="B39:D39"/>
    <mergeCell ref="A44:G44"/>
    <mergeCell ref="A27:F28"/>
    <mergeCell ref="G27:G28"/>
    <mergeCell ref="B31:D31"/>
    <mergeCell ref="B32:D32"/>
    <mergeCell ref="B33:D33"/>
    <mergeCell ref="A36:G36"/>
    <mergeCell ref="B12:D12"/>
    <mergeCell ref="B13:D13"/>
    <mergeCell ref="A18:G18"/>
    <mergeCell ref="B19:G19"/>
    <mergeCell ref="B20:G20"/>
    <mergeCell ref="B21:G21"/>
    <mergeCell ref="A1:F2"/>
    <mergeCell ref="G1:G2"/>
    <mergeCell ref="B5:E5"/>
    <mergeCell ref="B6:E6"/>
    <mergeCell ref="B7:E7"/>
    <mergeCell ref="A10:G10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pageSetUpPr fitToPage="1"/>
  </sheetPr>
  <dimension ref="A1:AS28"/>
  <sheetViews>
    <sheetView showGridLines="0" zoomScaleNormal="100" workbookViewId="0">
      <selection activeCell="C5" sqref="C5:D5"/>
    </sheetView>
  </sheetViews>
  <sheetFormatPr defaultRowHeight="14.25" x14ac:dyDescent="0.2"/>
  <cols>
    <col min="1" max="1" width="18.25" customWidth="1"/>
    <col min="2" max="8" width="11" customWidth="1"/>
    <col min="13" max="13" width="0" hidden="1" customWidth="1"/>
    <col min="14" max="14" width="9.875" hidden="1" customWidth="1"/>
    <col min="15" max="45" width="0" hidden="1" customWidth="1"/>
  </cols>
  <sheetData>
    <row r="1" spans="1:45" ht="14.25" customHeight="1" x14ac:dyDescent="0.2">
      <c r="A1" s="49" t="s">
        <v>0</v>
      </c>
      <c r="B1" s="50"/>
      <c r="C1" s="50"/>
      <c r="D1" s="50"/>
      <c r="E1" s="50"/>
      <c r="F1" s="50"/>
      <c r="G1" s="50"/>
      <c r="H1" s="53">
        <v>1</v>
      </c>
      <c r="I1" s="1"/>
      <c r="J1" s="1"/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t="s">
        <v>24</v>
      </c>
      <c r="T1" t="s">
        <v>22</v>
      </c>
      <c r="U1" t="s">
        <v>25</v>
      </c>
      <c r="V1" t="s">
        <v>21</v>
      </c>
      <c r="W1" t="s">
        <v>24</v>
      </c>
      <c r="X1" t="s">
        <v>22</v>
      </c>
      <c r="Y1" t="s">
        <v>25</v>
      </c>
      <c r="Z1" t="s">
        <v>21</v>
      </c>
      <c r="AA1" t="s">
        <v>24</v>
      </c>
      <c r="AB1" t="s">
        <v>22</v>
      </c>
      <c r="AC1" t="s">
        <v>25</v>
      </c>
      <c r="AD1" t="s">
        <v>21</v>
      </c>
      <c r="AE1" t="s">
        <v>24</v>
      </c>
      <c r="AF1" t="s">
        <v>22</v>
      </c>
      <c r="AG1" t="s">
        <v>25</v>
      </c>
      <c r="AH1" t="s">
        <v>21</v>
      </c>
      <c r="AI1" t="s">
        <v>24</v>
      </c>
      <c r="AJ1" t="s">
        <v>22</v>
      </c>
      <c r="AK1" t="s">
        <v>25</v>
      </c>
      <c r="AL1" t="s">
        <v>21</v>
      </c>
      <c r="AM1" t="s">
        <v>24</v>
      </c>
      <c r="AN1" t="s">
        <v>22</v>
      </c>
      <c r="AO1" t="s">
        <v>26</v>
      </c>
      <c r="AP1" t="s">
        <v>27</v>
      </c>
      <c r="AQ1" t="s">
        <v>28</v>
      </c>
      <c r="AR1" t="s">
        <v>29</v>
      </c>
      <c r="AS1" t="s">
        <v>30</v>
      </c>
    </row>
    <row r="2" spans="1:45" ht="14.25" customHeight="1" x14ac:dyDescent="0.2">
      <c r="A2" s="51"/>
      <c r="B2" s="52"/>
      <c r="C2" s="52"/>
      <c r="D2" s="52"/>
      <c r="E2" s="52"/>
      <c r="F2" s="52"/>
      <c r="G2" s="52"/>
      <c r="H2" s="54"/>
      <c r="I2" s="1"/>
      <c r="J2" s="1"/>
      <c r="M2" s="58">
        <f>H1</f>
        <v>1</v>
      </c>
      <c r="N2" s="59" t="str">
        <f>IF(C5="","",C5)</f>
        <v/>
      </c>
      <c r="O2" s="58" t="str">
        <f>IF(C6="","",C6)</f>
        <v/>
      </c>
      <c r="P2" s="58" t="str">
        <f>IF(C7="","",C7)</f>
        <v/>
      </c>
      <c r="Q2" s="58" t="str">
        <f>IF(B12="","",B12)</f>
        <v/>
      </c>
      <c r="R2" s="60" t="str">
        <f>IF(E12="","",E12)</f>
        <v/>
      </c>
      <c r="S2" s="60" t="str">
        <f>IF(F12="","",F12)</f>
        <v/>
      </c>
      <c r="T2" s="60" t="str">
        <f>IF(G12="","",G12)</f>
        <v/>
      </c>
      <c r="U2" s="60" t="str">
        <f>IF(B13="","",B13)</f>
        <v/>
      </c>
      <c r="V2" s="60" t="str">
        <f>IF(E13="","",E13)</f>
        <v/>
      </c>
      <c r="W2" s="60" t="str">
        <f>IF(F13="","",F13)</f>
        <v/>
      </c>
      <c r="X2" s="60" t="str">
        <f>IF(G13="","",G13)</f>
        <v/>
      </c>
      <c r="Y2" s="60" t="str">
        <f>IF(B14="","",B14)</f>
        <v/>
      </c>
      <c r="Z2" s="60" t="str">
        <f>IF(E14="","",E14)</f>
        <v/>
      </c>
      <c r="AA2" s="60" t="str">
        <f>IF(F14="","",F14)</f>
        <v/>
      </c>
      <c r="AB2" s="60" t="str">
        <f>IF(G14="","",G14)</f>
        <v/>
      </c>
      <c r="AC2" s="60" t="str">
        <f>IF(B15="","",B15)</f>
        <v/>
      </c>
      <c r="AD2" s="60" t="str">
        <f>IF(E15="","",E15)</f>
        <v/>
      </c>
      <c r="AE2" s="60" t="str">
        <f>IF(F15="","",F15)</f>
        <v/>
      </c>
      <c r="AF2" s="60" t="str">
        <f>IF(G15="","",G15)</f>
        <v/>
      </c>
      <c r="AG2" s="60" t="str">
        <f>IF(B16="","",B16)</f>
        <v/>
      </c>
      <c r="AH2" s="60" t="str">
        <f>IF(E16="","",E16)</f>
        <v/>
      </c>
      <c r="AI2" s="60" t="str">
        <f>IF(F16="","",F16)</f>
        <v/>
      </c>
      <c r="AJ2" s="60" t="str">
        <f>IF(G16="","",G16)</f>
        <v/>
      </c>
      <c r="AK2" s="60" t="str">
        <f>IF(B17="","",B17)</f>
        <v/>
      </c>
      <c r="AL2" s="60" t="str">
        <f>IF(E17="","",E17)</f>
        <v/>
      </c>
      <c r="AM2" s="60" t="str">
        <f>IF(F17="","",F17)</f>
        <v/>
      </c>
      <c r="AN2" s="60" t="str">
        <f>IF(G17="","",G17)</f>
        <v/>
      </c>
      <c r="AO2" s="60" t="str">
        <f>IF(B19="","",B19)</f>
        <v/>
      </c>
      <c r="AP2" s="60" t="str">
        <f>IF(C25="","",C25)</f>
        <v/>
      </c>
      <c r="AQ2" s="60" t="str">
        <f>IF(D25="","",D25)</f>
        <v/>
      </c>
      <c r="AR2" s="60" t="str">
        <f>IF(E25="","",E25)</f>
        <v/>
      </c>
      <c r="AS2" s="60" t="str">
        <f>IF(F25="","",F25)</f>
        <v/>
      </c>
    </row>
    <row r="3" spans="1:45" ht="14.25" customHeight="1" x14ac:dyDescent="0.2">
      <c r="A3" s="19"/>
      <c r="B3" s="2"/>
      <c r="C3" s="2"/>
      <c r="D3" s="2"/>
      <c r="E3" s="2"/>
      <c r="F3" s="2"/>
      <c r="G3" s="2"/>
      <c r="H3" s="6"/>
      <c r="I3" s="1"/>
      <c r="J3" s="1"/>
      <c r="M3" t="s">
        <v>16</v>
      </c>
      <c r="N3" t="s">
        <v>17</v>
      </c>
      <c r="O3" t="s">
        <v>18</v>
      </c>
      <c r="P3" t="s">
        <v>19</v>
      </c>
      <c r="Q3" t="s">
        <v>20</v>
      </c>
      <c r="R3" t="s">
        <v>21</v>
      </c>
      <c r="S3" s="25" t="s">
        <v>24</v>
      </c>
      <c r="T3" s="25" t="s">
        <v>22</v>
      </c>
      <c r="U3" s="25" t="s">
        <v>25</v>
      </c>
      <c r="V3" s="25" t="s">
        <v>21</v>
      </c>
      <c r="W3" s="25" t="s">
        <v>24</v>
      </c>
      <c r="X3" s="25" t="s">
        <v>22</v>
      </c>
      <c r="Y3" s="25" t="s">
        <v>25</v>
      </c>
      <c r="Z3" s="25" t="s">
        <v>21</v>
      </c>
      <c r="AA3" s="25" t="s">
        <v>24</v>
      </c>
      <c r="AB3" s="25" t="s">
        <v>22</v>
      </c>
      <c r="AC3" s="25" t="s">
        <v>25</v>
      </c>
      <c r="AD3" s="25" t="s">
        <v>21</v>
      </c>
      <c r="AE3" s="25" t="s">
        <v>24</v>
      </c>
      <c r="AF3" s="25" t="s">
        <v>22</v>
      </c>
      <c r="AG3" s="25" t="s">
        <v>25</v>
      </c>
      <c r="AH3" s="25" t="s">
        <v>21</v>
      </c>
      <c r="AI3" s="25" t="s">
        <v>24</v>
      </c>
      <c r="AJ3" s="25" t="s">
        <v>22</v>
      </c>
      <c r="AK3" s="25" t="s">
        <v>25</v>
      </c>
      <c r="AL3" s="25" t="s">
        <v>21</v>
      </c>
      <c r="AM3" s="25" t="s">
        <v>24</v>
      </c>
      <c r="AN3" s="25" t="s">
        <v>22</v>
      </c>
      <c r="AO3" s="25" t="s">
        <v>26</v>
      </c>
      <c r="AP3" s="25" t="s">
        <v>27</v>
      </c>
      <c r="AQ3" s="25" t="s">
        <v>28</v>
      </c>
      <c r="AR3" s="25" t="s">
        <v>29</v>
      </c>
      <c r="AS3" s="25" t="s">
        <v>30</v>
      </c>
    </row>
    <row r="4" spans="1:45" ht="14.25" customHeight="1" x14ac:dyDescent="0.2">
      <c r="A4" s="5"/>
      <c r="B4" s="2"/>
      <c r="C4" s="2"/>
      <c r="D4" s="2"/>
      <c r="E4" s="2"/>
      <c r="F4" s="2"/>
      <c r="G4" s="2"/>
      <c r="H4" s="6"/>
      <c r="I4" s="1"/>
      <c r="J4" s="1"/>
      <c r="K4" t="s">
        <v>33</v>
      </c>
      <c r="M4" s="58">
        <f>H1</f>
        <v>1</v>
      </c>
      <c r="N4" s="59" t="str">
        <f>IFERROR(VLOOKUP($M$4,BD!$A:$AG,2,FALSE),"")</f>
        <v/>
      </c>
      <c r="O4" s="60" t="str">
        <f>IFERROR(VLOOKUP($M$4,BD!$A:$AG,3,FALSE),"")</f>
        <v/>
      </c>
      <c r="P4" s="60" t="str">
        <f>IFERROR(VLOOKUP($M$4,BD!$A:$AG,4,FALSE),"")</f>
        <v/>
      </c>
      <c r="Q4" s="60" t="str">
        <f>IFERROR(VLOOKUP($M$4,BD!$A:$AG,5,FALSE),"")</f>
        <v/>
      </c>
      <c r="R4" s="60" t="str">
        <f>IFERROR(VLOOKUP($M$4,BD!$A:$AG,6,FALSE),"")</f>
        <v/>
      </c>
      <c r="S4" s="60" t="str">
        <f>IFERROR(VLOOKUP($M$4,BD!$A:$AG,7,FALSE),"")</f>
        <v/>
      </c>
      <c r="T4" s="60" t="str">
        <f>IFERROR(VLOOKUP($M$4,BD!$A:$AG,8,FALSE),"")</f>
        <v/>
      </c>
      <c r="U4" s="60" t="str">
        <f>IFERROR(VLOOKUP($M$4,BD!$A:$AG,9,FALSE),"")</f>
        <v/>
      </c>
      <c r="V4" s="60" t="str">
        <f>IFERROR(VLOOKUP($M$4,BD!$A:$AG,10,FALSE),"")</f>
        <v/>
      </c>
      <c r="W4" s="60" t="str">
        <f>IFERROR(VLOOKUP($M$4,BD!$A:$AG,11,FALSE),"")</f>
        <v/>
      </c>
      <c r="X4" s="60" t="str">
        <f>IFERROR(VLOOKUP($M$4,BD!$A:$AG,12,FALSE),"")</f>
        <v/>
      </c>
      <c r="Y4" s="60" t="str">
        <f>IFERROR(VLOOKUP($M$4,BD!$A:$AG,13,FALSE),"")</f>
        <v/>
      </c>
      <c r="Z4" s="60" t="str">
        <f>IFERROR(VLOOKUP($M$4,BD!$A:$AG,14,FALSE),"")</f>
        <v/>
      </c>
      <c r="AA4" s="60" t="str">
        <f>IFERROR(VLOOKUP($M$4,BD!$A:$AG,15,FALSE),"")</f>
        <v/>
      </c>
      <c r="AB4" s="60" t="str">
        <f>IFERROR(VLOOKUP($M$4,BD!$A:$AG,16,FALSE),"")</f>
        <v/>
      </c>
      <c r="AC4" s="60" t="str">
        <f>IFERROR(VLOOKUP($M$4,BD!$A:$AG,17,FALSE),"")</f>
        <v/>
      </c>
      <c r="AD4" s="60" t="str">
        <f>IFERROR(VLOOKUP($M$4,BD!$A:$AG,18,FALSE),"")</f>
        <v/>
      </c>
      <c r="AE4" s="60" t="str">
        <f>IFERROR(VLOOKUP($M$4,BD!$A:$AG,19,FALSE),"")</f>
        <v/>
      </c>
      <c r="AF4" s="60" t="str">
        <f>IFERROR(VLOOKUP($M$4,BD!$A:$AG,20,FALSE),"")</f>
        <v/>
      </c>
      <c r="AG4" s="60" t="str">
        <f>IFERROR(VLOOKUP($M$4,BD!$A:$AG,21,FALSE),"")</f>
        <v/>
      </c>
      <c r="AH4" s="60" t="str">
        <f>IFERROR(VLOOKUP($M$4,BD!$A:$AG,22,FALSE),"")</f>
        <v/>
      </c>
      <c r="AI4" s="60" t="str">
        <f>IFERROR(VLOOKUP($M$4,BD!$A:$AG,23,FALSE),"")</f>
        <v/>
      </c>
      <c r="AJ4" s="60" t="str">
        <f>IFERROR(VLOOKUP($M$4,BD!$A:$AG,24,FALSE),"")</f>
        <v/>
      </c>
      <c r="AK4" s="60" t="str">
        <f>IFERROR(VLOOKUP($M$4,BD!$A:$AG,25,FALSE),"")</f>
        <v/>
      </c>
      <c r="AL4" s="60" t="str">
        <f>IFERROR(VLOOKUP($M$4,BD!$A:$AG,26,FALSE),"")</f>
        <v/>
      </c>
      <c r="AM4" s="60" t="str">
        <f>IFERROR(VLOOKUP($M$4,BD!$A:$AG,27,FALSE),"")</f>
        <v/>
      </c>
      <c r="AN4" s="60" t="str">
        <f>IFERROR(VLOOKUP($M$4,BD!$A:$AG,28,FALSE),"")</f>
        <v/>
      </c>
      <c r="AO4" s="60" t="str">
        <f>IFERROR(VLOOKUP($M$4,BD!$A:$AG,29,FALSE),"")</f>
        <v/>
      </c>
      <c r="AP4" s="60" t="str">
        <f>IFERROR(VLOOKUP($M$4,BD!$A:$AG,30,FALSE),"")</f>
        <v/>
      </c>
      <c r="AQ4" s="60" t="str">
        <f>IFERROR(VLOOKUP($M$4,BD!$A:$AG,31,FALSE),"")</f>
        <v/>
      </c>
      <c r="AR4" s="60" t="str">
        <f>IFERROR(VLOOKUP($M$4,BD!$A:$AG,32,FALSE),"")</f>
        <v/>
      </c>
      <c r="AS4" s="60" t="str">
        <f>IFERROR(VLOOKUP($M$4,BD!$A:$AG,33,FALSE),"")</f>
        <v/>
      </c>
    </row>
    <row r="5" spans="1:45" ht="15" x14ac:dyDescent="0.25">
      <c r="A5" s="9"/>
      <c r="B5" s="21" t="s">
        <v>8</v>
      </c>
      <c r="C5" s="55"/>
      <c r="D5" s="55"/>
      <c r="E5" s="17"/>
      <c r="F5" s="17"/>
      <c r="G5" s="18"/>
      <c r="H5" s="8"/>
      <c r="M5" t="s">
        <v>16</v>
      </c>
    </row>
    <row r="6" spans="1:45" ht="15" x14ac:dyDescent="0.25">
      <c r="A6" s="9"/>
      <c r="B6" s="21" t="s">
        <v>1</v>
      </c>
      <c r="C6" s="56"/>
      <c r="D6" s="56"/>
      <c r="E6" s="56"/>
      <c r="F6" s="56"/>
      <c r="G6" s="18"/>
      <c r="H6" s="8"/>
      <c r="M6" s="58">
        <f>MAX(BD!A:A)+1</f>
        <v>1</v>
      </c>
    </row>
    <row r="7" spans="1:45" ht="15" x14ac:dyDescent="0.25">
      <c r="A7" s="9"/>
      <c r="B7" s="21" t="s">
        <v>7</v>
      </c>
      <c r="C7" s="57"/>
      <c r="D7" s="57"/>
      <c r="E7" s="57"/>
      <c r="F7" s="57"/>
      <c r="G7" s="18"/>
      <c r="H7" s="8"/>
    </row>
    <row r="8" spans="1:45" x14ac:dyDescent="0.2">
      <c r="A8" s="9"/>
      <c r="B8" s="10"/>
      <c r="H8" s="8"/>
      <c r="K8" t="s">
        <v>15</v>
      </c>
      <c r="M8" t="s">
        <v>34</v>
      </c>
    </row>
    <row r="9" spans="1:45" x14ac:dyDescent="0.2">
      <c r="A9" s="20"/>
      <c r="H9" s="8"/>
    </row>
    <row r="10" spans="1:45" ht="15" x14ac:dyDescent="0.25">
      <c r="A10" s="32" t="s">
        <v>9</v>
      </c>
      <c r="B10" s="33"/>
      <c r="C10" s="33"/>
      <c r="D10" s="33"/>
      <c r="E10" s="33"/>
      <c r="F10" s="33"/>
      <c r="G10" s="33"/>
      <c r="H10" s="34"/>
    </row>
    <row r="11" spans="1:45" ht="15" x14ac:dyDescent="0.25">
      <c r="A11" s="9"/>
      <c r="E11" s="4" t="s">
        <v>4</v>
      </c>
      <c r="F11" s="4" t="s">
        <v>23</v>
      </c>
      <c r="G11" s="4" t="s">
        <v>3</v>
      </c>
      <c r="H11" s="8"/>
    </row>
    <row r="12" spans="1:45" ht="15" x14ac:dyDescent="0.25">
      <c r="A12" s="11" t="s">
        <v>10</v>
      </c>
      <c r="B12" s="35"/>
      <c r="C12" s="35"/>
      <c r="D12" s="36"/>
      <c r="E12" s="30"/>
      <c r="F12" s="30"/>
      <c r="G12" s="29"/>
      <c r="H12" s="8"/>
      <c r="K12" t="s">
        <v>32</v>
      </c>
      <c r="AE12" s="25"/>
    </row>
    <row r="13" spans="1:45" ht="15" x14ac:dyDescent="0.25">
      <c r="A13" s="11" t="s">
        <v>11</v>
      </c>
      <c r="B13" s="35"/>
      <c r="C13" s="35"/>
      <c r="D13" s="36"/>
      <c r="E13" s="29"/>
      <c r="F13" s="29"/>
      <c r="G13" s="29"/>
      <c r="H13" s="8"/>
    </row>
    <row r="14" spans="1:45" ht="15" x14ac:dyDescent="0.25">
      <c r="A14" s="11" t="s">
        <v>11</v>
      </c>
      <c r="B14" s="35"/>
      <c r="C14" s="35"/>
      <c r="D14" s="36"/>
      <c r="E14" s="29"/>
      <c r="F14" s="29"/>
      <c r="G14" s="29"/>
      <c r="H14" s="8"/>
    </row>
    <row r="15" spans="1:45" ht="15" x14ac:dyDescent="0.25">
      <c r="A15" s="11" t="s">
        <v>11</v>
      </c>
      <c r="B15" s="35"/>
      <c r="C15" s="35"/>
      <c r="D15" s="36"/>
      <c r="E15" s="29"/>
      <c r="F15" s="29"/>
      <c r="G15" s="29"/>
      <c r="H15" s="8"/>
    </row>
    <row r="16" spans="1:45" ht="15" x14ac:dyDescent="0.25">
      <c r="A16" s="11" t="s">
        <v>11</v>
      </c>
      <c r="B16" s="35"/>
      <c r="C16" s="35"/>
      <c r="D16" s="36"/>
      <c r="E16" s="29"/>
      <c r="F16" s="29"/>
      <c r="G16" s="29"/>
      <c r="H16" s="8"/>
      <c r="K16" t="s">
        <v>14</v>
      </c>
    </row>
    <row r="17" spans="1:9" ht="15" x14ac:dyDescent="0.25">
      <c r="A17" s="11" t="s">
        <v>11</v>
      </c>
      <c r="B17" s="35"/>
      <c r="C17" s="35"/>
      <c r="D17" s="36"/>
      <c r="E17" s="30"/>
      <c r="F17" s="30"/>
      <c r="G17" s="29"/>
      <c r="H17" s="8"/>
    </row>
    <row r="18" spans="1:9" x14ac:dyDescent="0.2">
      <c r="A18" s="37"/>
      <c r="B18" s="38"/>
      <c r="C18" s="38"/>
      <c r="D18" s="38"/>
      <c r="E18" s="38"/>
      <c r="F18" s="38"/>
      <c r="G18" s="38"/>
      <c r="H18" s="39"/>
    </row>
    <row r="19" spans="1:9" ht="15" customHeight="1" x14ac:dyDescent="0.25">
      <c r="A19" s="7" t="s">
        <v>12</v>
      </c>
      <c r="B19" s="40"/>
      <c r="C19" s="41"/>
      <c r="D19" s="41"/>
      <c r="E19" s="41"/>
      <c r="F19" s="41"/>
      <c r="G19" s="41"/>
      <c r="H19" s="42"/>
    </row>
    <row r="20" spans="1:9" x14ac:dyDescent="0.2">
      <c r="A20" s="9"/>
      <c r="B20" s="43"/>
      <c r="C20" s="44"/>
      <c r="D20" s="44"/>
      <c r="E20" s="44"/>
      <c r="F20" s="44"/>
      <c r="G20" s="44"/>
      <c r="H20" s="45"/>
    </row>
    <row r="21" spans="1:9" x14ac:dyDescent="0.2">
      <c r="A21" s="9"/>
      <c r="B21" s="46"/>
      <c r="C21" s="47"/>
      <c r="D21" s="47"/>
      <c r="E21" s="47"/>
      <c r="F21" s="47"/>
      <c r="G21" s="47"/>
      <c r="H21" s="48"/>
    </row>
    <row r="22" spans="1:9" ht="15.75" x14ac:dyDescent="0.25">
      <c r="A22" s="9"/>
      <c r="B22" s="12"/>
      <c r="C22" s="12"/>
      <c r="D22" s="12"/>
      <c r="E22" s="12"/>
      <c r="F22" s="12"/>
      <c r="G22" s="26"/>
      <c r="H22" s="27"/>
    </row>
    <row r="23" spans="1:9" ht="15" x14ac:dyDescent="0.25">
      <c r="A23" s="16"/>
      <c r="B23" s="3"/>
      <c r="C23" s="3"/>
      <c r="D23" s="3"/>
      <c r="E23" s="3"/>
      <c r="F23" s="3"/>
      <c r="H23" s="8"/>
    </row>
    <row r="24" spans="1:9" ht="14.25" customHeight="1" x14ac:dyDescent="0.25">
      <c r="A24" s="23" t="s">
        <v>31</v>
      </c>
      <c r="C24" s="4" t="s">
        <v>2</v>
      </c>
      <c r="D24" s="4" t="s">
        <v>5</v>
      </c>
      <c r="E24" s="4" t="s">
        <v>6</v>
      </c>
      <c r="F24" s="4" t="s">
        <v>13</v>
      </c>
      <c r="G24" s="4"/>
      <c r="H24" s="8"/>
      <c r="I24" s="2"/>
    </row>
    <row r="25" spans="1:9" ht="14.25" customHeight="1" x14ac:dyDescent="0.2">
      <c r="A25" s="9"/>
      <c r="C25" s="31"/>
      <c r="D25" s="31"/>
      <c r="E25" s="31"/>
      <c r="F25" s="31"/>
      <c r="H25" s="8"/>
      <c r="I25" s="2"/>
    </row>
    <row r="26" spans="1:9" ht="15.75" thickBot="1" x14ac:dyDescent="0.25">
      <c r="A26" s="13"/>
      <c r="B26" s="14"/>
      <c r="C26" s="14"/>
      <c r="D26" s="14"/>
      <c r="E26" s="14"/>
      <c r="F26" s="14"/>
      <c r="G26" s="14"/>
      <c r="H26" s="15"/>
    </row>
    <row r="27" spans="1:9" ht="14.25" customHeight="1" x14ac:dyDescent="0.2"/>
    <row r="28" spans="1:9" ht="14.25" customHeight="1" x14ac:dyDescent="0.2"/>
  </sheetData>
  <sheetProtection algorithmName="SHA-512" hashValue="5q0YMBZrdwE/vnt8DkgOSJsO4axei91YAX5dxPJGgpS+EQlhYVeufYza+zmHuCDk+pCDwcQF3bwU/c0YrjP/cQ==" saltValue="LYMrbasayYnM/5xQsa0cIw==" spinCount="100000" sheet="1" objects="1" scenarios="1"/>
  <mergeCells count="14">
    <mergeCell ref="B19:H21"/>
    <mergeCell ref="A1:G2"/>
    <mergeCell ref="H1:H2"/>
    <mergeCell ref="B14:D14"/>
    <mergeCell ref="B15:D15"/>
    <mergeCell ref="B16:D16"/>
    <mergeCell ref="C5:D5"/>
    <mergeCell ref="C6:F6"/>
    <mergeCell ref="C7:F7"/>
    <mergeCell ref="A10:H10"/>
    <mergeCell ref="B12:D12"/>
    <mergeCell ref="B13:D13"/>
    <mergeCell ref="A18:H18"/>
    <mergeCell ref="B17:D17"/>
  </mergeCells>
  <pageMargins left="0.511811024" right="0.511811024" top="0.78740157499999996" bottom="0.78740157499999996" header="0.31496062000000002" footer="0.31496062000000002"/>
  <pageSetup paperSize="9" scale="88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AG18"/>
  <sheetViews>
    <sheetView workbookViewId="0">
      <selection activeCell="A25" sqref="A25"/>
    </sheetView>
  </sheetViews>
  <sheetFormatPr defaultRowHeight="14.25" x14ac:dyDescent="0.2"/>
  <cols>
    <col min="1" max="1" width="16" bestFit="1" customWidth="1"/>
    <col min="2" max="2" width="9.875" bestFit="1" customWidth="1"/>
    <col min="3" max="3" width="8.5" bestFit="1" customWidth="1"/>
    <col min="4" max="4" width="9.5" bestFit="1" customWidth="1"/>
    <col min="5" max="5" width="12.25" bestFit="1" customWidth="1"/>
    <col min="29" max="29" width="10.375" bestFit="1" customWidth="1"/>
    <col min="30" max="30" width="11" bestFit="1" customWidth="1"/>
    <col min="32" max="32" width="9.125" bestFit="1" customWidth="1"/>
  </cols>
  <sheetData>
    <row r="1" spans="1:33" ht="15" thickBot="1" x14ac:dyDescent="0.25">
      <c r="A1" s="24" t="s">
        <v>16</v>
      </c>
      <c r="B1" s="24" t="s">
        <v>17</v>
      </c>
      <c r="C1" s="24" t="s">
        <v>18</v>
      </c>
      <c r="D1" s="24" t="s">
        <v>19</v>
      </c>
      <c r="E1" s="24" t="s">
        <v>20</v>
      </c>
      <c r="F1" s="24" t="s">
        <v>21</v>
      </c>
      <c r="G1" s="24" t="s">
        <v>24</v>
      </c>
      <c r="H1" s="24" t="s">
        <v>22</v>
      </c>
      <c r="I1" s="24" t="s">
        <v>25</v>
      </c>
      <c r="J1" s="24" t="s">
        <v>21</v>
      </c>
      <c r="K1" s="24" t="s">
        <v>24</v>
      </c>
      <c r="L1" s="24" t="s">
        <v>22</v>
      </c>
      <c r="M1" s="24" t="s">
        <v>25</v>
      </c>
      <c r="N1" s="24" t="s">
        <v>21</v>
      </c>
      <c r="O1" s="24" t="s">
        <v>24</v>
      </c>
      <c r="P1" s="24" t="s">
        <v>22</v>
      </c>
      <c r="Q1" s="24" t="s">
        <v>25</v>
      </c>
      <c r="R1" s="24" t="s">
        <v>21</v>
      </c>
      <c r="S1" s="24" t="s">
        <v>24</v>
      </c>
      <c r="T1" s="24" t="s">
        <v>22</v>
      </c>
      <c r="U1" s="24" t="s">
        <v>25</v>
      </c>
      <c r="V1" s="24" t="s">
        <v>21</v>
      </c>
      <c r="W1" s="24" t="s">
        <v>24</v>
      </c>
      <c r="X1" s="24" t="s">
        <v>22</v>
      </c>
      <c r="Y1" s="24" t="s">
        <v>25</v>
      </c>
      <c r="Z1" s="24" t="s">
        <v>21</v>
      </c>
      <c r="AA1" s="24" t="s">
        <v>24</v>
      </c>
      <c r="AB1" s="24" t="s">
        <v>22</v>
      </c>
      <c r="AC1" s="24" t="s">
        <v>26</v>
      </c>
      <c r="AD1" s="24" t="s">
        <v>27</v>
      </c>
      <c r="AE1" s="24" t="s">
        <v>28</v>
      </c>
      <c r="AF1" s="24" t="s">
        <v>29</v>
      </c>
      <c r="AG1" s="24" t="s">
        <v>30</v>
      </c>
    </row>
    <row r="2" spans="1:33" x14ac:dyDescent="0.2">
      <c r="A2" s="58"/>
      <c r="B2" s="59"/>
      <c r="C2" s="58"/>
      <c r="D2" s="58"/>
      <c r="E2" s="58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</row>
    <row r="3" spans="1:33" x14ac:dyDescent="0.2">
      <c r="A3" s="58"/>
      <c r="B3" s="59"/>
      <c r="C3" s="58"/>
      <c r="D3" s="58"/>
      <c r="E3" s="58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</row>
    <row r="4" spans="1:33" x14ac:dyDescent="0.2">
      <c r="A4" s="58"/>
      <c r="B4" s="59"/>
      <c r="C4" s="58"/>
      <c r="D4" s="58"/>
      <c r="E4" s="58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</row>
    <row r="5" spans="1:33" x14ac:dyDescent="0.2">
      <c r="B5" s="10"/>
      <c r="F5" s="22"/>
      <c r="G5" s="22"/>
      <c r="H5" s="22"/>
      <c r="J5" s="22"/>
      <c r="K5" s="22"/>
      <c r="L5" s="22"/>
      <c r="N5" s="22"/>
      <c r="O5" s="22"/>
      <c r="P5" s="22"/>
      <c r="R5" s="22"/>
      <c r="S5" s="22"/>
      <c r="T5" s="22"/>
      <c r="V5" s="22"/>
      <c r="W5" s="22"/>
      <c r="X5" s="22"/>
      <c r="Z5" s="22"/>
      <c r="AA5" s="22"/>
      <c r="AB5" s="22"/>
    </row>
    <row r="6" spans="1:33" x14ac:dyDescent="0.2">
      <c r="B6" s="10"/>
      <c r="F6" s="22"/>
      <c r="G6" s="22"/>
      <c r="H6" s="22"/>
      <c r="J6" s="22"/>
      <c r="K6" s="22"/>
      <c r="L6" s="22"/>
      <c r="N6" s="22"/>
      <c r="O6" s="22"/>
      <c r="P6" s="22"/>
      <c r="R6" s="22"/>
      <c r="S6" s="22"/>
      <c r="T6" s="22"/>
      <c r="V6" s="22"/>
      <c r="W6" s="22"/>
      <c r="X6" s="22"/>
      <c r="Z6" s="22"/>
      <c r="AA6" s="22"/>
      <c r="AB6" s="22"/>
    </row>
    <row r="7" spans="1:33" x14ac:dyDescent="0.2">
      <c r="B7" s="10"/>
      <c r="F7" s="22"/>
      <c r="G7" s="22"/>
      <c r="H7" s="22"/>
      <c r="J7" s="22"/>
      <c r="K7" s="22"/>
      <c r="L7" s="22"/>
      <c r="N7" s="22"/>
      <c r="O7" s="22"/>
      <c r="P7" s="22"/>
      <c r="R7" s="22"/>
      <c r="S7" s="22"/>
      <c r="T7" s="22"/>
      <c r="V7" s="22"/>
      <c r="W7" s="22"/>
      <c r="X7" s="22"/>
      <c r="Z7" s="22"/>
      <c r="AA7" s="22"/>
      <c r="AB7" s="22"/>
    </row>
    <row r="8" spans="1:33" x14ac:dyDescent="0.2">
      <c r="B8" s="10"/>
      <c r="F8" s="22"/>
      <c r="G8" s="22"/>
      <c r="H8" s="22"/>
      <c r="J8" s="22"/>
      <c r="K8" s="22"/>
      <c r="L8" s="22"/>
      <c r="N8" s="22"/>
      <c r="O8" s="22"/>
      <c r="P8" s="22"/>
      <c r="R8" s="22"/>
      <c r="S8" s="22"/>
      <c r="T8" s="22"/>
      <c r="V8" s="22"/>
      <c r="W8" s="22"/>
      <c r="X8" s="22"/>
      <c r="Z8" s="22"/>
      <c r="AA8" s="22"/>
      <c r="AB8" s="22"/>
    </row>
    <row r="9" spans="1:33" x14ac:dyDescent="0.2">
      <c r="B9" s="10"/>
      <c r="F9" s="22"/>
      <c r="G9" s="22"/>
      <c r="H9" s="22"/>
      <c r="J9" s="22"/>
      <c r="K9" s="22"/>
      <c r="L9" s="22"/>
      <c r="N9" s="22"/>
      <c r="O9" s="22"/>
      <c r="P9" s="22"/>
      <c r="R9" s="22"/>
      <c r="S9" s="22"/>
      <c r="T9" s="22"/>
      <c r="V9" s="22"/>
      <c r="W9" s="22"/>
      <c r="X9" s="22"/>
      <c r="Z9" s="22"/>
      <c r="AA9" s="22"/>
      <c r="AB9" s="22"/>
    </row>
    <row r="10" spans="1:33" x14ac:dyDescent="0.2">
      <c r="B10" s="10"/>
      <c r="F10" s="22"/>
      <c r="G10" s="22"/>
      <c r="H10" s="22"/>
      <c r="J10" s="22"/>
      <c r="K10" s="22"/>
      <c r="L10" s="22"/>
      <c r="N10" s="22"/>
      <c r="O10" s="22"/>
      <c r="P10" s="22"/>
      <c r="R10" s="22"/>
      <c r="S10" s="22"/>
      <c r="T10" s="22"/>
      <c r="V10" s="22"/>
      <c r="W10" s="22"/>
      <c r="X10" s="22"/>
      <c r="Z10" s="22"/>
      <c r="AA10" s="22"/>
      <c r="AB10" s="22"/>
    </row>
    <row r="11" spans="1:33" x14ac:dyDescent="0.2">
      <c r="B11" s="10"/>
      <c r="F11" s="22"/>
      <c r="G11" s="22"/>
      <c r="H11" s="22"/>
      <c r="J11" s="22"/>
      <c r="K11" s="22"/>
      <c r="L11" s="22"/>
      <c r="N11" s="22"/>
      <c r="O11" s="22"/>
      <c r="P11" s="22"/>
      <c r="R11" s="22"/>
      <c r="S11" s="22"/>
      <c r="T11" s="22"/>
      <c r="V11" s="22"/>
      <c r="W11" s="22"/>
      <c r="X11" s="22"/>
      <c r="Z11" s="22"/>
      <c r="AA11" s="22"/>
      <c r="AB11" s="22"/>
    </row>
    <row r="12" spans="1:33" x14ac:dyDescent="0.2">
      <c r="B12" s="10"/>
      <c r="F12" s="22"/>
      <c r="G12" s="22"/>
      <c r="H12" s="22"/>
      <c r="J12" s="22"/>
      <c r="K12" s="22"/>
      <c r="L12" s="22"/>
      <c r="N12" s="22"/>
      <c r="O12" s="22"/>
      <c r="P12" s="22"/>
      <c r="R12" s="22"/>
      <c r="S12" s="22"/>
      <c r="T12" s="22"/>
      <c r="V12" s="22"/>
      <c r="W12" s="22"/>
      <c r="X12" s="22"/>
      <c r="Z12" s="22"/>
      <c r="AA12" s="22"/>
      <c r="AB12" s="22"/>
    </row>
    <row r="13" spans="1:33" x14ac:dyDescent="0.2">
      <c r="B13" s="10"/>
      <c r="F13" s="22"/>
      <c r="G13" s="22"/>
      <c r="H13" s="22"/>
      <c r="J13" s="22"/>
      <c r="K13" s="22"/>
      <c r="L13" s="22"/>
      <c r="N13" s="22"/>
      <c r="O13" s="22"/>
      <c r="P13" s="22"/>
      <c r="R13" s="22"/>
      <c r="S13" s="22"/>
      <c r="T13" s="22"/>
      <c r="V13" s="22"/>
      <c r="W13" s="22"/>
      <c r="X13" s="22"/>
      <c r="Z13" s="22"/>
      <c r="AA13" s="22"/>
      <c r="AB13" s="22"/>
    </row>
    <row r="14" spans="1:33" x14ac:dyDescent="0.2">
      <c r="B14" s="10"/>
      <c r="F14" s="22"/>
      <c r="G14" s="22"/>
      <c r="H14" s="22"/>
      <c r="J14" s="22"/>
      <c r="K14" s="22"/>
      <c r="L14" s="22"/>
      <c r="N14" s="22"/>
      <c r="O14" s="22"/>
      <c r="P14" s="22"/>
      <c r="R14" s="22"/>
      <c r="S14" s="22"/>
      <c r="T14" s="22"/>
      <c r="V14" s="22"/>
      <c r="W14" s="22"/>
      <c r="X14" s="22"/>
      <c r="Z14" s="22"/>
      <c r="AA14" s="22"/>
      <c r="AB14" s="22"/>
    </row>
    <row r="15" spans="1:33" x14ac:dyDescent="0.2">
      <c r="B15" s="10"/>
      <c r="F15" s="22"/>
      <c r="G15" s="22"/>
      <c r="H15" s="22"/>
      <c r="J15" s="22"/>
      <c r="K15" s="22"/>
      <c r="L15" s="22"/>
      <c r="N15" s="22"/>
      <c r="O15" s="22"/>
      <c r="P15" s="22"/>
      <c r="R15" s="22"/>
      <c r="S15" s="22"/>
      <c r="T15" s="22"/>
      <c r="V15" s="22"/>
      <c r="W15" s="22"/>
      <c r="X15" s="22"/>
      <c r="Z15" s="22"/>
      <c r="AA15" s="22"/>
      <c r="AB15" s="22"/>
    </row>
    <row r="16" spans="1:33" x14ac:dyDescent="0.2">
      <c r="B16" s="10"/>
      <c r="F16" s="22"/>
      <c r="G16" s="22"/>
      <c r="H16" s="22"/>
      <c r="J16" s="22"/>
      <c r="K16" s="22"/>
      <c r="L16" s="22"/>
      <c r="N16" s="22"/>
      <c r="O16" s="22"/>
      <c r="P16" s="22"/>
      <c r="R16" s="22"/>
      <c r="S16" s="22"/>
      <c r="T16" s="22"/>
      <c r="V16" s="22"/>
      <c r="W16" s="22"/>
      <c r="X16" s="22"/>
      <c r="Z16" s="22"/>
      <c r="AA16" s="22"/>
      <c r="AB16" s="22"/>
    </row>
    <row r="17" spans="2:28" x14ac:dyDescent="0.2">
      <c r="B17" s="10"/>
      <c r="F17" s="22"/>
      <c r="G17" s="22"/>
      <c r="H17" s="22"/>
      <c r="J17" s="22"/>
      <c r="K17" s="22"/>
      <c r="L17" s="22"/>
      <c r="N17" s="22"/>
      <c r="O17" s="22"/>
      <c r="P17" s="22"/>
      <c r="R17" s="22"/>
      <c r="S17" s="22"/>
      <c r="T17" s="22"/>
      <c r="V17" s="22"/>
      <c r="W17" s="22"/>
      <c r="X17" s="22"/>
      <c r="Z17" s="22"/>
      <c r="AA17" s="22"/>
      <c r="AB17" s="22"/>
    </row>
    <row r="18" spans="2:28" x14ac:dyDescent="0.2">
      <c r="B18" s="10"/>
      <c r="F18" s="22"/>
      <c r="G18" s="22"/>
      <c r="H18" s="22"/>
      <c r="J18" s="22"/>
      <c r="K18" s="22"/>
      <c r="L18" s="22"/>
      <c r="N18" s="22"/>
      <c r="O18" s="22"/>
      <c r="P18" s="22"/>
      <c r="R18" s="22"/>
      <c r="S18" s="22"/>
      <c r="T18" s="22"/>
      <c r="V18" s="22"/>
      <c r="W18" s="22"/>
      <c r="X18" s="22"/>
      <c r="Z18" s="22"/>
      <c r="AA18" s="22"/>
      <c r="AB18" s="22"/>
    </row>
  </sheetData>
  <sheetProtection algorithmName="SHA-512" hashValue="to7i+pLU1qQMFAcBOgerU/vMqICedJVnjZnubGiycJvWQUUbnitEvl8/4oYy9n0vp4l5AJ3mNsGRN5BusWWaKA==" saltValue="SQLaaVGB1EBB6NrAKwVCww==" spinCount="100000" sheet="1" objects="1" scenarios="1" autoFilter="0"/>
  <autoFilter ref="A1:AG1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IMPRESSÃO</vt:lpstr>
      <vt:lpstr>LANÇAMENTOS</vt:lpstr>
      <vt:lpstr>BD</vt:lpstr>
      <vt:lpstr>LANÇAMENTOS!Area_de_impressao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JHH OFF</dc:creator>
  <cp:lastModifiedBy>Terminal17</cp:lastModifiedBy>
  <cp:lastPrinted>2024-05-28T11:19:18Z</cp:lastPrinted>
  <dcterms:created xsi:type="dcterms:W3CDTF">2024-04-12T19:10:29Z</dcterms:created>
  <dcterms:modified xsi:type="dcterms:W3CDTF">2024-05-29T12:25:31Z</dcterms:modified>
</cp:coreProperties>
</file>