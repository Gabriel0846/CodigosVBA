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TERMINAL 1\Documents\GitHub\CodigosVBA\controle de estoque com formulario de cadastro\"/>
    </mc:Choice>
  </mc:AlternateContent>
  <xr:revisionPtr revIDLastSave="0" documentId="13_ncr:1_{A501753F-0780-4B54-9D4C-0EDE8D92117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ANÇAMENTOS" sheetId="1" r:id="rId1"/>
    <sheet name="BD_CLIENTE" sheetId="7" r:id="rId2"/>
    <sheet name="BD_PROD" sheetId="8" r:id="rId3"/>
    <sheet name="BD" sheetId="10" r:id="rId4"/>
  </sheets>
  <definedNames>
    <definedName name="_xlnm.Print_Area" localSheetId="0">LANÇAMENTOS!$A$1:$K$87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N2" i="1" l="1"/>
  <c r="DN4" i="1" s="1"/>
  <c r="R2" i="1"/>
  <c r="DM6" i="1" l="1"/>
  <c r="DL6" i="1"/>
  <c r="DK6" i="1"/>
  <c r="DJ6" i="1"/>
  <c r="DI6" i="1"/>
  <c r="DH6" i="1"/>
  <c r="DG6" i="1"/>
  <c r="DF6" i="1"/>
  <c r="DE6" i="1"/>
  <c r="DD6" i="1"/>
  <c r="DC6" i="1"/>
  <c r="DB6" i="1"/>
  <c r="DA6" i="1"/>
  <c r="CZ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I4" i="1" s="1"/>
  <c r="CH6" i="1"/>
  <c r="CH4" i="1" s="1"/>
  <c r="CG6" i="1"/>
  <c r="CG4" i="1" s="1"/>
  <c r="CF6" i="1"/>
  <c r="CF4" i="1" s="1"/>
  <c r="CE6" i="1"/>
  <c r="CE4" i="1" s="1"/>
  <c r="CD6" i="1"/>
  <c r="CD4" i="1" s="1"/>
  <c r="CC6" i="1"/>
  <c r="CC4" i="1" s="1"/>
  <c r="CB6" i="1"/>
  <c r="CB4" i="1" s="1"/>
  <c r="CA6" i="1"/>
  <c r="CA4" i="1" s="1"/>
  <c r="BZ6" i="1"/>
  <c r="BZ4" i="1" s="1"/>
  <c r="BY6" i="1"/>
  <c r="BY4" i="1" s="1"/>
  <c r="BX6" i="1"/>
  <c r="BX4" i="1" s="1"/>
  <c r="BW6" i="1"/>
  <c r="BW4" i="1" s="1"/>
  <c r="BV6" i="1"/>
  <c r="BV4" i="1" s="1"/>
  <c r="BU6" i="1"/>
  <c r="BU4" i="1" s="1"/>
  <c r="BT6" i="1"/>
  <c r="BT4" i="1" s="1"/>
  <c r="BS6" i="1"/>
  <c r="BS4" i="1" s="1"/>
  <c r="BR6" i="1"/>
  <c r="BR4" i="1" s="1"/>
  <c r="BQ6" i="1"/>
  <c r="BQ4" i="1" s="1"/>
  <c r="BP6" i="1"/>
  <c r="BP4" i="1" s="1"/>
  <c r="BO6" i="1"/>
  <c r="BO4" i="1" s="1"/>
  <c r="BN6" i="1"/>
  <c r="BN4" i="1" s="1"/>
  <c r="BM6" i="1"/>
  <c r="BM4" i="1" s="1"/>
  <c r="BL6" i="1"/>
  <c r="BL4" i="1" s="1"/>
  <c r="BK6" i="1"/>
  <c r="BK4" i="1" s="1"/>
  <c r="BJ6" i="1"/>
  <c r="BJ4" i="1" s="1"/>
  <c r="BI6" i="1"/>
  <c r="BI4" i="1" s="1"/>
  <c r="BH6" i="1"/>
  <c r="BH4" i="1" s="1"/>
  <c r="BG6" i="1"/>
  <c r="BG4" i="1" s="1"/>
  <c r="BF6" i="1"/>
  <c r="BF4" i="1" s="1"/>
  <c r="BE6" i="1"/>
  <c r="BE4" i="1" s="1"/>
  <c r="BD6" i="1"/>
  <c r="BD4" i="1" s="1"/>
  <c r="BC6" i="1"/>
  <c r="BC4" i="1" s="1"/>
  <c r="BB6" i="1"/>
  <c r="BB4" i="1" s="1"/>
  <c r="BA6" i="1"/>
  <c r="BA4" i="1" s="1"/>
  <c r="AZ6" i="1"/>
  <c r="AZ4" i="1" s="1"/>
  <c r="AY6" i="1"/>
  <c r="AY4" i="1" s="1"/>
  <c r="AX6" i="1"/>
  <c r="AX4" i="1" s="1"/>
  <c r="AW6" i="1"/>
  <c r="AW4" i="1" s="1"/>
  <c r="AV6" i="1"/>
  <c r="AV4" i="1" s="1"/>
  <c r="AU6" i="1"/>
  <c r="AU4" i="1" s="1"/>
  <c r="AT6" i="1"/>
  <c r="AT4" i="1" s="1"/>
  <c r="AS6" i="1"/>
  <c r="AS4" i="1" s="1"/>
  <c r="AR6" i="1"/>
  <c r="AR4" i="1" s="1"/>
  <c r="AQ6" i="1"/>
  <c r="AQ4" i="1" s="1"/>
  <c r="AP6" i="1"/>
  <c r="AP4" i="1" s="1"/>
  <c r="AO6" i="1"/>
  <c r="AO4" i="1" s="1"/>
  <c r="AN6" i="1"/>
  <c r="AN4" i="1" s="1"/>
  <c r="AM6" i="1"/>
  <c r="AM4" i="1" s="1"/>
  <c r="AL6" i="1"/>
  <c r="AL4" i="1" s="1"/>
  <c r="AK6" i="1"/>
  <c r="AK4" i="1" s="1"/>
  <c r="AJ6" i="1"/>
  <c r="AJ4" i="1" s="1"/>
  <c r="AI6" i="1"/>
  <c r="AI4" i="1" s="1"/>
  <c r="AH6" i="1"/>
  <c r="AH4" i="1" s="1"/>
  <c r="AG6" i="1"/>
  <c r="AG4" i="1" s="1"/>
  <c r="AF6" i="1"/>
  <c r="AF4" i="1" s="1"/>
  <c r="AE6" i="1"/>
  <c r="AE4" i="1" s="1"/>
  <c r="AD6" i="1"/>
  <c r="AD4" i="1" s="1"/>
  <c r="AC6" i="1"/>
  <c r="AC4" i="1" s="1"/>
  <c r="AB6" i="1"/>
  <c r="AA6" i="1"/>
  <c r="AA4" i="1" s="1"/>
  <c r="Z6" i="1"/>
  <c r="Z4" i="1" s="1"/>
  <c r="Y6" i="1"/>
  <c r="Y4" i="1" s="1"/>
  <c r="X6" i="1"/>
  <c r="W6" i="1"/>
  <c r="V6" i="1"/>
  <c r="V2" i="1" s="1"/>
  <c r="T6" i="1"/>
  <c r="S6" i="1"/>
  <c r="S2" i="1" s="1"/>
  <c r="R6" i="1"/>
  <c r="Q2" i="1"/>
  <c r="DL2" i="1"/>
  <c r="DK2" i="1"/>
  <c r="DJ2" i="1"/>
  <c r="DH2" i="1"/>
  <c r="DF2" i="1"/>
  <c r="DE2" i="1"/>
  <c r="DD2" i="1"/>
  <c r="DB2" i="1"/>
  <c r="CZ2" i="1"/>
  <c r="CY2" i="1"/>
  <c r="CX2" i="1"/>
  <c r="CV2" i="1"/>
  <c r="CT2" i="1"/>
  <c r="CS2" i="1"/>
  <c r="CR2" i="1"/>
  <c r="CP2" i="1"/>
  <c r="CN2" i="1"/>
  <c r="CM2" i="1"/>
  <c r="CL2" i="1"/>
  <c r="CJ2" i="1"/>
  <c r="CH2" i="1"/>
  <c r="CG2" i="1"/>
  <c r="CF2" i="1"/>
  <c r="CD2" i="1"/>
  <c r="CB2" i="1"/>
  <c r="CA2" i="1"/>
  <c r="BZ2" i="1"/>
  <c r="BX2" i="1"/>
  <c r="BV2" i="1"/>
  <c r="BU2" i="1"/>
  <c r="BT2" i="1"/>
  <c r="BR2" i="1"/>
  <c r="BP2" i="1"/>
  <c r="BO2" i="1"/>
  <c r="BN2" i="1"/>
  <c r="BL2" i="1"/>
  <c r="BJ2" i="1"/>
  <c r="BI2" i="1"/>
  <c r="BH2" i="1"/>
  <c r="BF2" i="1"/>
  <c r="BD2" i="1"/>
  <c r="BC2" i="1"/>
  <c r="BB2" i="1"/>
  <c r="AZ2" i="1"/>
  <c r="X2" i="1" l="1"/>
  <c r="X4" i="1" s="1"/>
  <c r="W2" i="1"/>
  <c r="W4" i="1" s="1"/>
  <c r="DH4" i="1"/>
  <c r="T2" i="1"/>
  <c r="CJ4" i="1"/>
  <c r="CL4" i="1"/>
  <c r="CX4" i="1"/>
  <c r="DJ4" i="1"/>
  <c r="CM4" i="1"/>
  <c r="CY4" i="1"/>
  <c r="DK4" i="1"/>
  <c r="CN4" i="1"/>
  <c r="CZ4" i="1"/>
  <c r="DL4" i="1"/>
  <c r="CV4" i="1"/>
  <c r="CP4" i="1"/>
  <c r="CR4" i="1"/>
  <c r="DD4" i="1"/>
  <c r="CS4" i="1"/>
  <c r="CT4" i="1"/>
  <c r="DF4" i="1"/>
  <c r="DE4" i="1"/>
  <c r="DB4" i="1"/>
  <c r="CO2" i="1"/>
  <c r="CO4" i="1" s="1"/>
  <c r="CU2" i="1"/>
  <c r="CU4" i="1" s="1"/>
  <c r="DA2" i="1"/>
  <c r="DA4" i="1" s="1"/>
  <c r="DG2" i="1"/>
  <c r="DG4" i="1" s="1"/>
  <c r="DM2" i="1"/>
  <c r="DM4" i="1" s="1"/>
  <c r="AX2" i="1"/>
  <c r="AW2" i="1"/>
  <c r="AV2" i="1"/>
  <c r="AT2" i="1"/>
  <c r="AR2" i="1"/>
  <c r="AQ2" i="1"/>
  <c r="AP2" i="1"/>
  <c r="AN2" i="1"/>
  <c r="AL2" i="1"/>
  <c r="AK2" i="1"/>
  <c r="AJ2" i="1"/>
  <c r="AH2" i="1"/>
  <c r="AF2" i="1"/>
  <c r="AE2" i="1"/>
  <c r="AD2" i="1"/>
  <c r="AB2" i="1"/>
  <c r="AB4" i="1" s="1"/>
  <c r="R4" i="1"/>
  <c r="AY2" i="1" l="1"/>
  <c r="CC2" i="1"/>
  <c r="AG2" i="1"/>
  <c r="CI2" i="1"/>
  <c r="BE2" i="1"/>
  <c r="BQ2" i="1"/>
  <c r="BW2" i="1"/>
  <c r="BK2" i="1"/>
  <c r="AM2" i="1"/>
  <c r="CQ2" i="1"/>
  <c r="CQ4" i="1" s="1"/>
  <c r="DI2" i="1"/>
  <c r="DI4" i="1" s="1"/>
  <c r="CW2" i="1"/>
  <c r="CW4" i="1" s="1"/>
  <c r="BM2" i="1"/>
  <c r="CK2" i="1"/>
  <c r="CK4" i="1" s="1"/>
  <c r="BA2" i="1"/>
  <c r="BG2" i="1"/>
  <c r="BY2" i="1"/>
  <c r="BS2" i="1"/>
  <c r="CE2" i="1"/>
  <c r="DC2" i="1"/>
  <c r="DC4" i="1" s="1"/>
  <c r="Y2" i="1"/>
  <c r="Z2" i="1"/>
  <c r="AS2" i="1"/>
  <c r="AI2" i="1"/>
  <c r="AO2" i="1"/>
  <c r="AU2" i="1"/>
  <c r="AC2" i="1"/>
  <c r="V4" i="1"/>
  <c r="Q4" i="1" l="1"/>
  <c r="T4" i="1" l="1"/>
  <c r="S4" i="1"/>
</calcChain>
</file>

<file path=xl/sharedStrings.xml><?xml version="1.0" encoding="utf-8"?>
<sst xmlns="http://schemas.openxmlformats.org/spreadsheetml/2006/main" count="500" uniqueCount="167">
  <si>
    <t>LIMPAR</t>
  </si>
  <si>
    <t>SALVAR</t>
  </si>
  <si>
    <t>data</t>
  </si>
  <si>
    <t>CONSULTAR</t>
  </si>
  <si>
    <t>NOVO</t>
  </si>
  <si>
    <t>num do pedido</t>
  </si>
  <si>
    <t>cliente</t>
  </si>
  <si>
    <t>cod</t>
  </si>
  <si>
    <t>nome</t>
  </si>
  <si>
    <t>cpf</t>
  </si>
  <si>
    <t>endereço</t>
  </si>
  <si>
    <t>telefone</t>
  </si>
  <si>
    <t>ADEMIR FORNAZIELI</t>
  </si>
  <si>
    <t>(43) 98826-8893</t>
  </si>
  <si>
    <t>471.437.039-15</t>
  </si>
  <si>
    <t>cep</t>
  </si>
  <si>
    <t>86706-060</t>
  </si>
  <si>
    <t>RUA MEGALOURO, 385, JARDIM BARONESA</t>
  </si>
  <si>
    <t>MASSA CORRIDA</t>
  </si>
  <si>
    <t>MASSA ACRILICA</t>
  </si>
  <si>
    <t>TEXTURA RUSTICA</t>
  </si>
  <si>
    <t>PRIMER CORES</t>
  </si>
  <si>
    <t>TINTA STANDARD CORES</t>
  </si>
  <si>
    <t>TINTA PREMIUM CORES</t>
  </si>
  <si>
    <t>TINTA PREMIUM SEMI-BRILHO CORES</t>
  </si>
  <si>
    <t>TINTA PREMIUM ACETINADO CORES</t>
  </si>
  <si>
    <t>TINTA PISO FOSCO</t>
  </si>
  <si>
    <t>TINTA PISO BRILHANTE</t>
  </si>
  <si>
    <t>SELADOR ACRILICO</t>
  </si>
  <si>
    <t>FUNDO PREPARADOR DE PAREDES</t>
  </si>
  <si>
    <t>TINTA PARA TELHADO</t>
  </si>
  <si>
    <t>RISCADO # 10</t>
  </si>
  <si>
    <t>BRANCA</t>
  </si>
  <si>
    <t>GELO</t>
  </si>
  <si>
    <t>AREIA</t>
  </si>
  <si>
    <t>PALHA</t>
  </si>
  <si>
    <t>-</t>
  </si>
  <si>
    <t>CHUMBO</t>
  </si>
  <si>
    <t>endereço cliente</t>
  </si>
  <si>
    <t>cod prod 1</t>
  </si>
  <si>
    <t>descrição prod 1</t>
  </si>
  <si>
    <t>cor prod 1</t>
  </si>
  <si>
    <t>quantidade prod 1</t>
  </si>
  <si>
    <t>preço un prod 1</t>
  </si>
  <si>
    <t>preço total prod 1</t>
  </si>
  <si>
    <t>cod prod 2</t>
  </si>
  <si>
    <t>descrição prod 2</t>
  </si>
  <si>
    <t>cor prod 2</t>
  </si>
  <si>
    <t>quantidade prod 2</t>
  </si>
  <si>
    <t>preço un prod 2</t>
  </si>
  <si>
    <t>preço total prod 2</t>
  </si>
  <si>
    <t>cod prod 3</t>
  </si>
  <si>
    <t>descrição prod 3</t>
  </si>
  <si>
    <t>cor prod 3</t>
  </si>
  <si>
    <t>quantidade prod 3</t>
  </si>
  <si>
    <t>preço un prod 3</t>
  </si>
  <si>
    <t>preço total prod 3</t>
  </si>
  <si>
    <t>cod prod 4</t>
  </si>
  <si>
    <t>descrição prod 4</t>
  </si>
  <si>
    <t>cor prod 4</t>
  </si>
  <si>
    <t>quantidade prod 4</t>
  </si>
  <si>
    <t>preço un prod 4</t>
  </si>
  <si>
    <t>preço total prod 4</t>
  </si>
  <si>
    <t>bairro</t>
  </si>
  <si>
    <t>uf</t>
  </si>
  <si>
    <t>PR</t>
  </si>
  <si>
    <t>JARDIM BARONESA</t>
  </si>
  <si>
    <t>cidade</t>
  </si>
  <si>
    <t>ARAPONGAS</t>
  </si>
  <si>
    <t>ATUALIZAR</t>
  </si>
  <si>
    <t>LANÇAR NOVO</t>
  </si>
  <si>
    <t>BUSCA</t>
  </si>
  <si>
    <t>43.717.390/0001-28</t>
  </si>
  <si>
    <t>PARA CASA MATERIAIS DE CONSTRUÇÃO LTDA</t>
  </si>
  <si>
    <t>RUA GAVIÃO CINZENTO, 320</t>
  </si>
  <si>
    <t>JARDIM SAN RAFAEL</t>
  </si>
  <si>
    <t>86703-490</t>
  </si>
  <si>
    <t>(43) 99923-6923</t>
  </si>
  <si>
    <t>cnpj</t>
  </si>
  <si>
    <t>042.608.909-05</t>
  </si>
  <si>
    <t>vendedor</t>
  </si>
  <si>
    <t>telefone vendedor</t>
  </si>
  <si>
    <t>cod prod 5</t>
  </si>
  <si>
    <t>descrição prod 5</t>
  </si>
  <si>
    <t>cor prod 5</t>
  </si>
  <si>
    <t>quantidade prod 5</t>
  </si>
  <si>
    <t>preço un prod 5</t>
  </si>
  <si>
    <t>preço total prod 5</t>
  </si>
  <si>
    <t>cod prod 6</t>
  </si>
  <si>
    <t>descrição prod 6</t>
  </si>
  <si>
    <t>cor prod 6</t>
  </si>
  <si>
    <t>quantidade prod 6</t>
  </si>
  <si>
    <t>preço un prod 6</t>
  </si>
  <si>
    <t>preço total prod 6</t>
  </si>
  <si>
    <t>cod prod 7</t>
  </si>
  <si>
    <t>descrição prod 7</t>
  </si>
  <si>
    <t>cor prod 7</t>
  </si>
  <si>
    <t>quantidade prod 7</t>
  </si>
  <si>
    <t>preço un prod 7</t>
  </si>
  <si>
    <t>preço total prod 7</t>
  </si>
  <si>
    <t>SUELI NEVES DE ALMEIDA TAKAHASHI</t>
  </si>
  <si>
    <t>878.443.629-87</t>
  </si>
  <si>
    <t>23.423.211/0001-32</t>
  </si>
  <si>
    <t>AVENIDA MARACANÃ</t>
  </si>
  <si>
    <t>VILA INDUSTRIAL</t>
  </si>
  <si>
    <t>86706-178</t>
  </si>
  <si>
    <t>ROSELI DE ALMEIDA BISPO</t>
  </si>
  <si>
    <t>(43) 99671-0996</t>
  </si>
  <si>
    <t>(43) 99922-2413</t>
  </si>
  <si>
    <t>cod prod 8</t>
  </si>
  <si>
    <t>descrição prod 8</t>
  </si>
  <si>
    <t>cor prod 8</t>
  </si>
  <si>
    <t>quantidade prod 8</t>
  </si>
  <si>
    <t>preço un prod 8</t>
  </si>
  <si>
    <t>preço total prod 8</t>
  </si>
  <si>
    <t>cod prod 9</t>
  </si>
  <si>
    <t>descrição prod 9</t>
  </si>
  <si>
    <t>cor prod 9</t>
  </si>
  <si>
    <t>quantidade prod 9</t>
  </si>
  <si>
    <t>preço un prod 9</t>
  </si>
  <si>
    <t>preço total prod 9</t>
  </si>
  <si>
    <t>cod prod 10</t>
  </si>
  <si>
    <t>descrição prod 10</t>
  </si>
  <si>
    <t>cor prod 10</t>
  </si>
  <si>
    <t>quantidade prod 10</t>
  </si>
  <si>
    <t>preço un prod 10</t>
  </si>
  <si>
    <t>preço total prod 10</t>
  </si>
  <si>
    <t>cod prod 11</t>
  </si>
  <si>
    <t>descrição prod 11</t>
  </si>
  <si>
    <t>cor prod 11</t>
  </si>
  <si>
    <t>quantidade prod 11</t>
  </si>
  <si>
    <t>preço un prod 11</t>
  </si>
  <si>
    <t>preço total prod 11</t>
  </si>
  <si>
    <t>cod prod 12</t>
  </si>
  <si>
    <t>descrição prod 12</t>
  </si>
  <si>
    <t>cor prod 12</t>
  </si>
  <si>
    <t>quantidade prod 12</t>
  </si>
  <si>
    <t>preço un prod 12</t>
  </si>
  <si>
    <t>preço total prod 12</t>
  </si>
  <si>
    <t>cod prod 13</t>
  </si>
  <si>
    <t>descrição prod 13</t>
  </si>
  <si>
    <t>cor prod 13</t>
  </si>
  <si>
    <t>quantidade prod 13</t>
  </si>
  <si>
    <t>preço un prod 13</t>
  </si>
  <si>
    <t>preço total prod 13</t>
  </si>
  <si>
    <t>cod prod 14</t>
  </si>
  <si>
    <t>descrição prod 14</t>
  </si>
  <si>
    <t>cor prod 14</t>
  </si>
  <si>
    <t>quantidade prod 14</t>
  </si>
  <si>
    <t>preço un prod 14</t>
  </si>
  <si>
    <t>preço total prod 14</t>
  </si>
  <si>
    <t>cod prod 15</t>
  </si>
  <si>
    <t>descrição prod 15</t>
  </si>
  <si>
    <t>cor prod 15</t>
  </si>
  <si>
    <t>quantidade prod 15</t>
  </si>
  <si>
    <t>preço un prod 15</t>
  </si>
  <si>
    <t>preço total prod 15</t>
  </si>
  <si>
    <t>endereço de entrega</t>
  </si>
  <si>
    <t xml:space="preserve">cpf </t>
  </si>
  <si>
    <t>bairro cliente</t>
  </si>
  <si>
    <t>OBS</t>
  </si>
  <si>
    <t>CADASTRO DE PRODUTO</t>
  </si>
  <si>
    <t>CODIGO:</t>
  </si>
  <si>
    <t>NOME:</t>
  </si>
  <si>
    <t>DATA DE CADASTRO:</t>
  </si>
  <si>
    <t>GRUPO:</t>
  </si>
  <si>
    <t>NCM: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</si>
</sst>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\ #,##0.00;\-&quot;R$&quot;\ #,##0.00"/>
    <numFmt numFmtId="164" formatCode="00\/00\/0000"/>
    <numFmt numFmtId="165" formatCode="&quot;R$&quot;\ #,##0.00"/>
    <numFmt numFmtId="166" formatCode="00\.000\.000\/0000\-00"/>
  </numFmts>
  <fonts count="4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b/>
      <sz val="9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7" fontId="0" fillId="0" borderId="0" xfId="0" applyNumberFormat="1"/>
    <xf numFmtId="14" fontId="0" fillId="0" borderId="0" xfId="0" applyNumberFormat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/>
    <xf numFmtId="0" fontId="1" fillId="0" borderId="0" xfId="0" applyFont="1"/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right"/>
    </xf>
    <xf numFmtId="0" fontId="0" fillId="0" borderId="0" xfId="0" applyBorder="1" applyAlignment="1"/>
    <xf numFmtId="0" fontId="1" fillId="0" borderId="0" xfId="0" applyFont="1" applyBorder="1" applyAlignment="1"/>
    <xf numFmtId="0" fontId="1" fillId="0" borderId="0" xfId="0" applyFont="1" applyBorder="1" applyAlignment="1">
      <alignment horizontal="center"/>
    </xf>
    <xf numFmtId="165" fontId="1" fillId="0" borderId="0" xfId="0" applyNumberFormat="1" applyFont="1" applyBorder="1" applyAlignment="1">
      <alignment horizontal="left" vertical="center"/>
    </xf>
    <xf numFmtId="165" fontId="2" fillId="0" borderId="0" xfId="0" applyNumberFormat="1" applyFont="1" applyBorder="1" applyAlignment="1">
      <alignment horizontal="right"/>
    </xf>
    <xf numFmtId="0" fontId="3" fillId="0" borderId="0" xfId="0" applyFont="1" applyBorder="1" applyAlignment="1">
      <alignment vertical="top"/>
    </xf>
    <xf numFmtId="0" fontId="3" fillId="0" borderId="0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center"/>
    </xf>
    <xf numFmtId="165" fontId="1" fillId="0" borderId="0" xfId="0" applyNumberFormat="1" applyFont="1" applyBorder="1" applyAlignment="1">
      <alignment horizontal="left" vertical="top"/>
    </xf>
    <xf numFmtId="0" fontId="0" fillId="0" borderId="0" xfId="0" applyBorder="1"/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/>
    <xf numFmtId="0" fontId="1" fillId="0" borderId="0" xfId="0" applyFont="1" applyFill="1" applyBorder="1" applyAlignment="1"/>
    <xf numFmtId="166" fontId="1" fillId="0" borderId="0" xfId="0" applyNumberFormat="1" applyFont="1" applyFill="1" applyBorder="1" applyAlignment="1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 applyProtection="1"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165" fontId="1" fillId="0" borderId="0" xfId="0" applyNumberFormat="1" applyFont="1" applyFill="1" applyBorder="1" applyAlignment="1" applyProtection="1">
      <alignment horizontal="left" vertical="top"/>
      <protection locked="0"/>
    </xf>
    <xf numFmtId="165" fontId="1" fillId="0" borderId="0" xfId="0" applyNumberFormat="1" applyFont="1" applyFill="1" applyBorder="1" applyAlignment="1">
      <alignment horizontal="left" vertical="center"/>
    </xf>
    <xf numFmtId="165" fontId="2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horizontal="center" vertical="top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top"/>
    </xf>
    <xf numFmtId="164" fontId="1" fillId="0" borderId="0" xfId="0" applyNumberFormat="1" applyFont="1" applyFill="1" applyBorder="1" applyAlignment="1"/>
    <xf numFmtId="165" fontId="1" fillId="0" borderId="0" xfId="0" applyNumberFormat="1" applyFont="1" applyFill="1" applyBorder="1" applyAlignment="1">
      <alignment horizontal="left" vertical="top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right" vertical="center"/>
    </xf>
    <xf numFmtId="0" fontId="1" fillId="0" borderId="0" xfId="0" applyFont="1" applyFill="1" applyBorder="1" applyAlignment="1">
      <alignment horizontal="right" vertical="center"/>
    </xf>
    <xf numFmtId="0" fontId="1" fillId="0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Fill="1" applyBorder="1" applyAlignment="1">
      <alignment horizontal="right"/>
    </xf>
    <xf numFmtId="0" fontId="1" fillId="0" borderId="2" xfId="0" applyFont="1" applyFill="1" applyBorder="1" applyAlignment="1">
      <alignment horizontal="left"/>
    </xf>
    <xf numFmtId="14" fontId="1" fillId="0" borderId="2" xfId="0" applyNumberFormat="1" applyFont="1" applyFill="1" applyBorder="1" applyAlignme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590550</xdr:colOff>
      <xdr:row>13</xdr:row>
      <xdr:rowOff>104775</xdr:rowOff>
    </xdr:from>
    <xdr:to>
      <xdr:col>13</xdr:col>
      <xdr:colOff>104775</xdr:colOff>
      <xdr:row>17</xdr:row>
      <xdr:rowOff>133350</xdr:rowOff>
    </xdr:to>
    <xdr:sp macro="[0]!LIMPAR_btn" textlink="">
      <xdr:nvSpPr>
        <xdr:cNvPr id="2" name="Multiplic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20325" y="2524125"/>
          <a:ext cx="885825" cy="790575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47624</xdr:colOff>
      <xdr:row>5</xdr:row>
      <xdr:rowOff>152401</xdr:rowOff>
    </xdr:from>
    <xdr:to>
      <xdr:col>12</xdr:col>
      <xdr:colOff>657225</xdr:colOff>
      <xdr:row>9</xdr:row>
      <xdr:rowOff>28576</xdr:rowOff>
    </xdr:to>
    <xdr:sp macro="[0]!SALVAR" textlink="">
      <xdr:nvSpPr>
        <xdr:cNvPr id="3" name="Seta para a Direit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63199" y="1057276"/>
          <a:ext cx="609601" cy="628650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9525</xdr:colOff>
      <xdr:row>10</xdr:row>
      <xdr:rowOff>47625</xdr:rowOff>
    </xdr:from>
    <xdr:to>
      <xdr:col>12</xdr:col>
      <xdr:colOff>657225</xdr:colOff>
      <xdr:row>13</xdr:row>
      <xdr:rowOff>114300</xdr:rowOff>
    </xdr:to>
    <xdr:sp macro="[0]!CONSULTA" textlink="">
      <xdr:nvSpPr>
        <xdr:cNvPr id="5" name="Fluxograma: Vários Document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325100" y="1895475"/>
          <a:ext cx="647700" cy="638175"/>
        </a:xfrm>
        <a:prstGeom prst="flowChartMultidocumen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628650</xdr:colOff>
      <xdr:row>1</xdr:row>
      <xdr:rowOff>76200</xdr:rowOff>
    </xdr:from>
    <xdr:to>
      <xdr:col>13</xdr:col>
      <xdr:colOff>66675</xdr:colOff>
      <xdr:row>5</xdr:row>
      <xdr:rowOff>104774</xdr:rowOff>
    </xdr:to>
    <xdr:sp macro="[0]!NOVO" textlink="">
      <xdr:nvSpPr>
        <xdr:cNvPr id="7" name="Mai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096500" y="257175"/>
          <a:ext cx="809625" cy="752474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DN176"/>
  <sheetViews>
    <sheetView showGridLines="0" tabSelected="1" zoomScaleNormal="100" workbookViewId="0">
      <selection activeCell="J19" sqref="J19"/>
    </sheetView>
  </sheetViews>
  <sheetFormatPr defaultRowHeight="14.25" x14ac:dyDescent="0.2"/>
  <cols>
    <col min="1" max="6" width="11" customWidth="1"/>
    <col min="7" max="7" width="13" customWidth="1"/>
    <col min="8" max="9" width="11" customWidth="1"/>
    <col min="10" max="10" width="14.375" bestFit="1" customWidth="1"/>
    <col min="11" max="11" width="11" customWidth="1"/>
    <col min="15" max="16" width="17.125" customWidth="1"/>
    <col min="17" max="17" width="9" customWidth="1"/>
    <col min="18" max="18" width="9.875" bestFit="1" customWidth="1"/>
    <col min="19" max="21" width="9.875" customWidth="1"/>
    <col min="22" max="54" width="9" customWidth="1"/>
    <col min="55" max="55" width="9.875" bestFit="1" customWidth="1"/>
    <col min="56" max="56" width="15" bestFit="1" customWidth="1"/>
    <col min="57" max="58" width="9.875" bestFit="1" customWidth="1"/>
    <col min="61" max="64" width="9.875" bestFit="1" customWidth="1"/>
    <col min="67" max="70" width="9.875" bestFit="1" customWidth="1"/>
    <col min="73" max="76" width="9.875" bestFit="1" customWidth="1"/>
    <col min="79" max="82" width="9.875" bestFit="1" customWidth="1"/>
    <col min="85" max="117" width="9.875" bestFit="1" customWidth="1"/>
  </cols>
  <sheetData>
    <row r="1" spans="1:118" ht="14.25" customHeight="1" x14ac:dyDescent="0.2">
      <c r="A1" s="26"/>
      <c r="B1" s="49" t="s">
        <v>161</v>
      </c>
      <c r="C1" s="50"/>
      <c r="D1" s="50"/>
      <c r="E1" s="50"/>
      <c r="F1" s="50"/>
      <c r="G1" s="50"/>
      <c r="H1" s="50"/>
      <c r="I1" s="50"/>
      <c r="J1" s="51"/>
      <c r="K1" s="13"/>
      <c r="L1" s="3"/>
      <c r="M1" s="3"/>
      <c r="P1" t="s">
        <v>69</v>
      </c>
      <c r="Q1" t="s">
        <v>5</v>
      </c>
      <c r="R1" t="s">
        <v>2</v>
      </c>
      <c r="S1" t="s">
        <v>6</v>
      </c>
      <c r="T1" t="s">
        <v>38</v>
      </c>
      <c r="U1" t="s">
        <v>159</v>
      </c>
      <c r="V1" t="s">
        <v>9</v>
      </c>
      <c r="W1" t="s">
        <v>78</v>
      </c>
      <c r="X1" t="s">
        <v>11</v>
      </c>
      <c r="Y1" t="s">
        <v>80</v>
      </c>
      <c r="Z1" t="s">
        <v>81</v>
      </c>
      <c r="AA1" t="s">
        <v>157</v>
      </c>
      <c r="AB1" t="s">
        <v>39</v>
      </c>
      <c r="AC1" t="s">
        <v>40</v>
      </c>
      <c r="AD1" t="s">
        <v>41</v>
      </c>
      <c r="AE1" t="s">
        <v>42</v>
      </c>
      <c r="AF1" t="s">
        <v>43</v>
      </c>
      <c r="AG1" t="s">
        <v>44</v>
      </c>
      <c r="AH1" t="s">
        <v>45</v>
      </c>
      <c r="AI1" t="s">
        <v>46</v>
      </c>
      <c r="AJ1" t="s">
        <v>47</v>
      </c>
      <c r="AK1" t="s">
        <v>48</v>
      </c>
      <c r="AL1" t="s">
        <v>49</v>
      </c>
      <c r="AM1" t="s">
        <v>50</v>
      </c>
      <c r="AN1" t="s">
        <v>51</v>
      </c>
      <c r="AO1" t="s">
        <v>52</v>
      </c>
      <c r="AP1" t="s">
        <v>53</v>
      </c>
      <c r="AQ1" t="s">
        <v>54</v>
      </c>
      <c r="AR1" t="s">
        <v>55</v>
      </c>
      <c r="AS1" t="s">
        <v>56</v>
      </c>
      <c r="AT1" t="s">
        <v>57</v>
      </c>
      <c r="AU1" t="s">
        <v>58</v>
      </c>
      <c r="AV1" t="s">
        <v>59</v>
      </c>
      <c r="AW1" t="s">
        <v>60</v>
      </c>
      <c r="AX1" t="s">
        <v>61</v>
      </c>
      <c r="AY1" t="s">
        <v>62</v>
      </c>
      <c r="AZ1" t="s">
        <v>82</v>
      </c>
      <c r="BA1" t="s">
        <v>83</v>
      </c>
      <c r="BB1" t="s">
        <v>84</v>
      </c>
      <c r="BC1" t="s">
        <v>85</v>
      </c>
      <c r="BD1" t="s">
        <v>86</v>
      </c>
      <c r="BE1" t="s">
        <v>87</v>
      </c>
      <c r="BF1" t="s">
        <v>88</v>
      </c>
      <c r="BG1" t="s">
        <v>89</v>
      </c>
      <c r="BH1" t="s">
        <v>90</v>
      </c>
      <c r="BI1" t="s">
        <v>91</v>
      </c>
      <c r="BJ1" t="s">
        <v>92</v>
      </c>
      <c r="BK1" t="s">
        <v>93</v>
      </c>
      <c r="BL1" t="s">
        <v>94</v>
      </c>
      <c r="BM1" t="s">
        <v>95</v>
      </c>
      <c r="BN1" t="s">
        <v>96</v>
      </c>
      <c r="BO1" t="s">
        <v>97</v>
      </c>
      <c r="BP1" t="s">
        <v>98</v>
      </c>
      <c r="BQ1" t="s">
        <v>99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  <c r="BZ1" t="s">
        <v>117</v>
      </c>
      <c r="CA1" t="s">
        <v>118</v>
      </c>
      <c r="CB1" t="s">
        <v>119</v>
      </c>
      <c r="CC1" t="s">
        <v>120</v>
      </c>
      <c r="CD1" t="s">
        <v>121</v>
      </c>
      <c r="CE1" t="s">
        <v>122</v>
      </c>
      <c r="CF1" t="s">
        <v>123</v>
      </c>
      <c r="CG1" t="s">
        <v>124</v>
      </c>
      <c r="CH1" t="s">
        <v>125</v>
      </c>
      <c r="CI1" t="s">
        <v>126</v>
      </c>
      <c r="CJ1" t="s">
        <v>127</v>
      </c>
      <c r="CK1" t="s">
        <v>128</v>
      </c>
      <c r="CL1" t="s">
        <v>129</v>
      </c>
      <c r="CM1" t="s">
        <v>130</v>
      </c>
      <c r="CN1" t="s">
        <v>131</v>
      </c>
      <c r="CO1" t="s">
        <v>132</v>
      </c>
      <c r="CP1" t="s">
        <v>133</v>
      </c>
      <c r="CQ1" t="s">
        <v>134</v>
      </c>
      <c r="CR1" t="s">
        <v>135</v>
      </c>
      <c r="CS1" t="s">
        <v>136</v>
      </c>
      <c r="CT1" t="s">
        <v>137</v>
      </c>
      <c r="CU1" t="s">
        <v>138</v>
      </c>
      <c r="CV1" t="s">
        <v>139</v>
      </c>
      <c r="CW1" t="s">
        <v>140</v>
      </c>
      <c r="CX1" t="s">
        <v>141</v>
      </c>
      <c r="CY1" t="s">
        <v>142</v>
      </c>
      <c r="CZ1" t="s">
        <v>143</v>
      </c>
      <c r="DA1" t="s">
        <v>144</v>
      </c>
      <c r="DB1" t="s">
        <v>145</v>
      </c>
      <c r="DC1" t="s">
        <v>146</v>
      </c>
      <c r="DD1" t="s">
        <v>147</v>
      </c>
      <c r="DE1" t="s">
        <v>148</v>
      </c>
      <c r="DF1" t="s">
        <v>149</v>
      </c>
      <c r="DG1" t="s">
        <v>150</v>
      </c>
      <c r="DH1" t="s">
        <v>151</v>
      </c>
      <c r="DI1" t="s">
        <v>152</v>
      </c>
      <c r="DJ1" t="s">
        <v>153</v>
      </c>
      <c r="DK1" t="s">
        <v>154</v>
      </c>
      <c r="DL1" t="s">
        <v>155</v>
      </c>
      <c r="DM1" t="s">
        <v>156</v>
      </c>
      <c r="DN1" t="s">
        <v>160</v>
      </c>
    </row>
    <row r="2" spans="1:118" ht="14.25" customHeight="1" x14ac:dyDescent="0.2">
      <c r="A2" s="26"/>
      <c r="B2" s="52"/>
      <c r="C2" s="53"/>
      <c r="D2" s="53"/>
      <c r="E2" s="53"/>
      <c r="F2" s="53"/>
      <c r="G2" s="53"/>
      <c r="H2" s="53"/>
      <c r="I2" s="53"/>
      <c r="J2" s="54"/>
      <c r="K2" s="13"/>
      <c r="L2" s="3"/>
      <c r="M2" s="3"/>
      <c r="Q2">
        <f>MAX(BD!A:A)+1</f>
        <v>2</v>
      </c>
      <c r="R2" s="4" t="str">
        <f>IF(I7="","",I7)</f>
        <v/>
      </c>
      <c r="S2" s="5" t="str">
        <f>IF(C9="","",C9)</f>
        <v/>
      </c>
      <c r="T2" t="str">
        <f>IF(C10="","",C10)</f>
        <v/>
      </c>
      <c r="V2" t="str">
        <f>IF(I9="","",I9)</f>
        <v/>
      </c>
      <c r="W2" t="str">
        <f>IF(I10="","",I10)</f>
        <v/>
      </c>
      <c r="X2" t="str">
        <f>IF(I11="","",I11)</f>
        <v/>
      </c>
      <c r="Y2" t="str">
        <f>IF(C15="","",C15)</f>
        <v/>
      </c>
      <c r="Z2" t="str">
        <f>IF(I15="","",I15)</f>
        <v/>
      </c>
      <c r="AB2" t="str">
        <f>IF($B21="","",$B21)</f>
        <v/>
      </c>
      <c r="AC2" t="str">
        <f>IF($C21="","",$C21)</f>
        <v/>
      </c>
      <c r="AD2" t="str">
        <f>IF($G21="","",$G21)</f>
        <v/>
      </c>
      <c r="AE2" t="str">
        <f>IF($H21="","",$H21)</f>
        <v/>
      </c>
      <c r="AF2" s="6" t="str">
        <f>IF($I21="","",$I21)</f>
        <v/>
      </c>
      <c r="AG2" s="6" t="str">
        <f>IF($J21="","",$J21)</f>
        <v/>
      </c>
      <c r="AH2" t="str">
        <f>IF($B22="","",$B22)</f>
        <v/>
      </c>
      <c r="AI2" t="str">
        <f>IF($C22="","",$C22)</f>
        <v/>
      </c>
      <c r="AJ2" t="str">
        <f>IF($G22="","",$G22)</f>
        <v/>
      </c>
      <c r="AK2" t="str">
        <f>IF($H22="","",$H22)</f>
        <v/>
      </c>
      <c r="AL2" s="6" t="str">
        <f>IF($I22="","",$I22)</f>
        <v/>
      </c>
      <c r="AM2" s="6" t="str">
        <f>IF($J22="","",$J22)</f>
        <v/>
      </c>
      <c r="AN2" t="str">
        <f>IF($B23="","",$B23)</f>
        <v/>
      </c>
      <c r="AO2" t="str">
        <f>IF($C23="","",$C23)</f>
        <v/>
      </c>
      <c r="AP2" t="str">
        <f>IF($G23="","",$G23)</f>
        <v/>
      </c>
      <c r="AQ2" t="str">
        <f>IF($H23="","",$H23)</f>
        <v/>
      </c>
      <c r="AR2" s="6" t="str">
        <f>IF($I23="","",$I23)</f>
        <v/>
      </c>
      <c r="AS2" s="6" t="str">
        <f>IF($J23="","",$J23)</f>
        <v/>
      </c>
      <c r="AT2" t="str">
        <f>IF($B24="","",$B24)</f>
        <v/>
      </c>
      <c r="AU2" t="str">
        <f>IF($C24="","",$C24)</f>
        <v/>
      </c>
      <c r="AV2" t="str">
        <f>IF($G24="","",$G24)</f>
        <v/>
      </c>
      <c r="AW2" t="str">
        <f>IF($H24="","",$H24)</f>
        <v/>
      </c>
      <c r="AX2" s="6" t="str">
        <f>IF($I24="","",$I24)</f>
        <v/>
      </c>
      <c r="AY2" s="6" t="str">
        <f>IF($J23="","",$J23)</f>
        <v/>
      </c>
      <c r="AZ2" t="str">
        <f>IF($B25="","",$B25)</f>
        <v/>
      </c>
      <c r="BA2" t="str">
        <f>IF($C25="","",$C25)</f>
        <v/>
      </c>
      <c r="BB2" t="str">
        <f>IF($G25="","",$G25)</f>
        <v/>
      </c>
      <c r="BC2" t="str">
        <f>IF($H25="","",$H25)</f>
        <v/>
      </c>
      <c r="BD2" s="6" t="str">
        <f>IF($I25="","",$I25)</f>
        <v/>
      </c>
      <c r="BE2" s="6" t="str">
        <f>IF($J25="","",$J25)</f>
        <v/>
      </c>
      <c r="BF2" t="str">
        <f>IF($B26="","",$B26)</f>
        <v/>
      </c>
      <c r="BG2" t="str">
        <f>IF($C26="","",$C26)</f>
        <v/>
      </c>
      <c r="BH2" t="str">
        <f>IF($G26="","",$G26)</f>
        <v/>
      </c>
      <c r="BI2" t="str">
        <f>IF($H26="","",$H26)</f>
        <v/>
      </c>
      <c r="BJ2" s="6" t="str">
        <f>IF($I26="","",$I26)</f>
        <v/>
      </c>
      <c r="BK2" s="6" t="str">
        <f>IF($J26="","",$J26)</f>
        <v/>
      </c>
      <c r="BL2" t="str">
        <f>IF($B27="","",$B27)</f>
        <v/>
      </c>
      <c r="BM2" t="str">
        <f>IF($C27="","",$C27)</f>
        <v/>
      </c>
      <c r="BN2" t="str">
        <f>IF($G27="","",$G27)</f>
        <v/>
      </c>
      <c r="BO2" t="str">
        <f>IF($H27="","",$H27)</f>
        <v/>
      </c>
      <c r="BP2" s="6" t="str">
        <f>IF($I27="","",$I27)</f>
        <v/>
      </c>
      <c r="BQ2" s="6" t="str">
        <f>IF($J27="","",$J27)</f>
        <v/>
      </c>
      <c r="BR2" t="str">
        <f>IF($B28="","",$B28)</f>
        <v/>
      </c>
      <c r="BS2" t="str">
        <f>IF($C28="","",$C28)</f>
        <v/>
      </c>
      <c r="BT2" t="str">
        <f>IF($G28="","",$G28)</f>
        <v/>
      </c>
      <c r="BU2" t="str">
        <f>IF($H28="","",$H28)</f>
        <v/>
      </c>
      <c r="BV2" s="6" t="str">
        <f>IF($I28="","",$I28)</f>
        <v/>
      </c>
      <c r="BW2" s="6" t="str">
        <f>IF($J28="","",$J28)</f>
        <v/>
      </c>
      <c r="BX2" t="str">
        <f>IF($B29="","",$B29)</f>
        <v/>
      </c>
      <c r="BY2" t="str">
        <f>IF($C29="","",$C29)</f>
        <v/>
      </c>
      <c r="BZ2" t="str">
        <f>IF($G29="","",$G29)</f>
        <v/>
      </c>
      <c r="CA2" t="str">
        <f>IF($H29="","",$H29)</f>
        <v/>
      </c>
      <c r="CB2" s="6" t="str">
        <f>IF($I29="","",$I29)</f>
        <v/>
      </c>
      <c r="CC2" s="6" t="str">
        <f>IF($J29="","",$J29)</f>
        <v/>
      </c>
      <c r="CD2" t="str">
        <f>IF($B30="","",$B30)</f>
        <v/>
      </c>
      <c r="CE2" t="str">
        <f>IF($C30="","",$C30)</f>
        <v/>
      </c>
      <c r="CF2" t="str">
        <f>IF($G30="","",$G30)</f>
        <v/>
      </c>
      <c r="CG2" t="str">
        <f>IF($H30="","",$H30)</f>
        <v/>
      </c>
      <c r="CH2" s="6" t="str">
        <f>IF($I30="","",$I30)</f>
        <v/>
      </c>
      <c r="CI2" s="6" t="str">
        <f>IF($J30="","",$J30)</f>
        <v/>
      </c>
      <c r="CJ2" t="str">
        <f>IF($B31="","",$B31)</f>
        <v/>
      </c>
      <c r="CK2" t="str">
        <f>IF($C31="","",$C31)</f>
        <v/>
      </c>
      <c r="CL2" t="str">
        <f>IF($G31="","",$G31)</f>
        <v/>
      </c>
      <c r="CM2" t="str">
        <f>IF($H31="","",$H31)</f>
        <v/>
      </c>
      <c r="CN2" s="6" t="str">
        <f>IF($I31="","",$I31)</f>
        <v/>
      </c>
      <c r="CO2" s="6" t="str">
        <f>IF($J31="","",$J31)</f>
        <v/>
      </c>
      <c r="CP2" t="str">
        <f>IF($B32="","",$B32)</f>
        <v/>
      </c>
      <c r="CQ2" t="str">
        <f>IF($C32="","",$C32)</f>
        <v/>
      </c>
      <c r="CR2" t="str">
        <f>IF($G32="","",$G32)</f>
        <v/>
      </c>
      <c r="CS2" t="str">
        <f>IF($H32="","",$H32)</f>
        <v/>
      </c>
      <c r="CT2" s="6" t="str">
        <f>IF($I32="","",$I32)</f>
        <v/>
      </c>
      <c r="CU2" s="6" t="str">
        <f>IF($J32="","",$J32)</f>
        <v/>
      </c>
      <c r="CV2" t="str">
        <f>IF($B33="","",$B33)</f>
        <v/>
      </c>
      <c r="CW2" t="str">
        <f>IF($C33="","",$C33)</f>
        <v/>
      </c>
      <c r="CX2" t="str">
        <f>IF($G33="","",$G33)</f>
        <v/>
      </c>
      <c r="CY2" t="str">
        <f>IF($H33="","",$H33)</f>
        <v/>
      </c>
      <c r="CZ2" s="6" t="str">
        <f>IF($I33="","",$I33)</f>
        <v/>
      </c>
      <c r="DA2" s="6" t="str">
        <f>IF($J33="","",$J33)</f>
        <v/>
      </c>
      <c r="DB2" t="str">
        <f>IF($B34="","",$B34)</f>
        <v/>
      </c>
      <c r="DC2" t="str">
        <f>IF($C34="","",$C34)</f>
        <v/>
      </c>
      <c r="DD2" t="str">
        <f>IF($G34="","",$G34)</f>
        <v/>
      </c>
      <c r="DE2" t="str">
        <f>IF($H34="","",$H34)</f>
        <v/>
      </c>
      <c r="DF2" s="6" t="str">
        <f>IF($I34="","",$I34)</f>
        <v/>
      </c>
      <c r="DG2" s="6" t="str">
        <f>IF($J34="","",$J34)</f>
        <v/>
      </c>
      <c r="DH2" t="str">
        <f>IF($B35="","",$B35)</f>
        <v/>
      </c>
      <c r="DI2" t="str">
        <f>IF($C35="","",$C35)</f>
        <v/>
      </c>
      <c r="DJ2" t="str">
        <f>IF($G35="","",$G35)</f>
        <v/>
      </c>
      <c r="DK2" t="str">
        <f>IF($H35="","",$H35)</f>
        <v/>
      </c>
      <c r="DL2" s="6" t="str">
        <f>IF($I35="","",$I35)</f>
        <v/>
      </c>
      <c r="DM2" s="6" t="str">
        <f>IF($J35="","",$J35)</f>
        <v/>
      </c>
      <c r="DN2" t="str">
        <f>IF(B42="","",B42)</f>
        <v/>
      </c>
    </row>
    <row r="3" spans="1:118" ht="14.25" customHeight="1" thickBot="1" x14ac:dyDescent="0.25">
      <c r="A3" s="26"/>
      <c r="B3" s="55"/>
      <c r="C3" s="56"/>
      <c r="D3" s="56"/>
      <c r="E3" s="56"/>
      <c r="F3" s="56"/>
      <c r="G3" s="56"/>
      <c r="H3" s="56"/>
      <c r="I3" s="56"/>
      <c r="J3" s="57"/>
      <c r="K3" s="13"/>
      <c r="L3" s="3"/>
      <c r="M3" s="3"/>
      <c r="P3" t="s">
        <v>70</v>
      </c>
      <c r="Q3" t="s">
        <v>5</v>
      </c>
      <c r="R3" t="s">
        <v>2</v>
      </c>
      <c r="S3" t="s">
        <v>6</v>
      </c>
      <c r="T3" t="s">
        <v>38</v>
      </c>
      <c r="U3" t="s">
        <v>159</v>
      </c>
      <c r="V3" t="s">
        <v>158</v>
      </c>
      <c r="W3" t="s">
        <v>78</v>
      </c>
      <c r="X3" t="s">
        <v>11</v>
      </c>
      <c r="Y3" t="s">
        <v>80</v>
      </c>
      <c r="Z3" t="s">
        <v>81</v>
      </c>
      <c r="AA3" t="s">
        <v>157</v>
      </c>
      <c r="AB3" t="s">
        <v>39</v>
      </c>
      <c r="AC3" t="s">
        <v>40</v>
      </c>
      <c r="AD3" t="s">
        <v>41</v>
      </c>
      <c r="AE3" t="s">
        <v>42</v>
      </c>
      <c r="AF3" t="s">
        <v>43</v>
      </c>
      <c r="AG3" t="s">
        <v>44</v>
      </c>
      <c r="AH3" t="s">
        <v>45</v>
      </c>
      <c r="AI3" t="s">
        <v>46</v>
      </c>
      <c r="AJ3" t="s">
        <v>47</v>
      </c>
      <c r="AK3" t="s">
        <v>48</v>
      </c>
      <c r="AL3" t="s">
        <v>49</v>
      </c>
      <c r="AM3" t="s">
        <v>50</v>
      </c>
      <c r="AN3" t="s">
        <v>51</v>
      </c>
      <c r="AO3" t="s">
        <v>52</v>
      </c>
      <c r="AP3" t="s">
        <v>53</v>
      </c>
      <c r="AQ3" t="s">
        <v>54</v>
      </c>
      <c r="AR3" t="s">
        <v>55</v>
      </c>
      <c r="AS3" t="s">
        <v>56</v>
      </c>
      <c r="AT3" t="s">
        <v>57</v>
      </c>
      <c r="AU3" t="s">
        <v>58</v>
      </c>
      <c r="AV3" t="s">
        <v>59</v>
      </c>
      <c r="AW3" t="s">
        <v>60</v>
      </c>
      <c r="AX3" t="s">
        <v>61</v>
      </c>
      <c r="AY3" t="s">
        <v>62</v>
      </c>
      <c r="AZ3" t="s">
        <v>82</v>
      </c>
      <c r="BA3" t="s">
        <v>83</v>
      </c>
      <c r="BB3" t="s">
        <v>84</v>
      </c>
      <c r="BC3" t="s">
        <v>85</v>
      </c>
      <c r="BD3" t="s">
        <v>86</v>
      </c>
      <c r="BE3" t="s">
        <v>87</v>
      </c>
      <c r="BF3" t="s">
        <v>88</v>
      </c>
      <c r="BG3" t="s">
        <v>89</v>
      </c>
      <c r="BH3" t="s">
        <v>90</v>
      </c>
      <c r="BI3" t="s">
        <v>91</v>
      </c>
      <c r="BJ3" t="s">
        <v>92</v>
      </c>
      <c r="BK3" t="s">
        <v>93</v>
      </c>
      <c r="BL3" t="s">
        <v>94</v>
      </c>
      <c r="BM3" t="s">
        <v>95</v>
      </c>
      <c r="BN3" t="s">
        <v>96</v>
      </c>
      <c r="BO3" t="s">
        <v>97</v>
      </c>
      <c r="BP3" t="s">
        <v>98</v>
      </c>
      <c r="BQ3" t="s">
        <v>99</v>
      </c>
      <c r="BR3" t="s">
        <v>109</v>
      </c>
      <c r="BS3" t="s">
        <v>110</v>
      </c>
      <c r="BT3" t="s">
        <v>111</v>
      </c>
      <c r="BU3" t="s">
        <v>112</v>
      </c>
      <c r="BV3" t="s">
        <v>113</v>
      </c>
      <c r="BW3" t="s">
        <v>114</v>
      </c>
      <c r="BX3" t="s">
        <v>115</v>
      </c>
      <c r="BY3" t="s">
        <v>116</v>
      </c>
      <c r="BZ3" t="s">
        <v>117</v>
      </c>
      <c r="CA3" t="s">
        <v>118</v>
      </c>
      <c r="CB3" t="s">
        <v>119</v>
      </c>
      <c r="CC3" t="s">
        <v>120</v>
      </c>
      <c r="CD3" t="s">
        <v>121</v>
      </c>
      <c r="CE3" t="s">
        <v>122</v>
      </c>
      <c r="CF3" t="s">
        <v>123</v>
      </c>
      <c r="CG3" t="s">
        <v>124</v>
      </c>
      <c r="CH3" t="s">
        <v>125</v>
      </c>
      <c r="CI3" t="s">
        <v>126</v>
      </c>
      <c r="CJ3" t="s">
        <v>127</v>
      </c>
      <c r="CK3" t="s">
        <v>128</v>
      </c>
      <c r="CL3" t="s">
        <v>129</v>
      </c>
      <c r="CM3" t="s">
        <v>130</v>
      </c>
      <c r="CN3" t="s">
        <v>131</v>
      </c>
      <c r="CO3" t="s">
        <v>132</v>
      </c>
      <c r="CP3" t="s">
        <v>133</v>
      </c>
      <c r="CQ3" t="s">
        <v>134</v>
      </c>
      <c r="CR3" t="s">
        <v>135</v>
      </c>
      <c r="CS3" t="s">
        <v>136</v>
      </c>
      <c r="CT3" t="s">
        <v>137</v>
      </c>
      <c r="CU3" t="s">
        <v>138</v>
      </c>
      <c r="CV3" t="s">
        <v>139</v>
      </c>
      <c r="CW3" t="s">
        <v>140</v>
      </c>
      <c r="CX3" t="s">
        <v>141</v>
      </c>
      <c r="CY3" t="s">
        <v>142</v>
      </c>
      <c r="CZ3" t="s">
        <v>143</v>
      </c>
      <c r="DA3" t="s">
        <v>144</v>
      </c>
      <c r="DB3" t="s">
        <v>145</v>
      </c>
      <c r="DC3" t="s">
        <v>146</v>
      </c>
      <c r="DD3" t="s">
        <v>147</v>
      </c>
      <c r="DE3" t="s">
        <v>148</v>
      </c>
      <c r="DF3" t="s">
        <v>149</v>
      </c>
      <c r="DG3" t="s">
        <v>150</v>
      </c>
      <c r="DH3" t="s">
        <v>151</v>
      </c>
      <c r="DI3" t="s">
        <v>152</v>
      </c>
      <c r="DJ3" t="s">
        <v>153</v>
      </c>
      <c r="DK3" t="s">
        <v>154</v>
      </c>
      <c r="DL3" t="s">
        <v>155</v>
      </c>
      <c r="DM3" t="s">
        <v>156</v>
      </c>
      <c r="DN3" t="s">
        <v>160</v>
      </c>
    </row>
    <row r="4" spans="1:118" ht="14.25" customHeight="1" x14ac:dyDescent="0.25">
      <c r="A4" s="26"/>
      <c r="B4" s="26"/>
      <c r="C4" s="26"/>
      <c r="D4" s="26"/>
      <c r="E4" s="26"/>
      <c r="F4" s="26"/>
      <c r="G4" s="26"/>
      <c r="H4" s="26"/>
      <c r="I4" s="26"/>
      <c r="J4" s="26"/>
      <c r="K4" s="13"/>
      <c r="L4" s="3"/>
      <c r="M4" s="3"/>
      <c r="N4" s="7" t="s">
        <v>4</v>
      </c>
      <c r="Q4">
        <f>IF(Q6="",Q2,Q6)</f>
        <v>1</v>
      </c>
      <c r="R4" s="8">
        <f t="shared" ref="R4:CE4" si="0">IF(R6="",R2,R6)</f>
        <v>45590</v>
      </c>
      <c r="S4" s="5" t="str">
        <f t="shared" si="0"/>
        <v>PARA CASA MATERIAIS DE CONSTRUÇÃO LTDA</v>
      </c>
      <c r="T4" t="str">
        <f t="shared" si="0"/>
        <v>RUA GAVIÃO CINZENTO, 320</v>
      </c>
      <c r="V4" t="str">
        <f t="shared" si="0"/>
        <v/>
      </c>
      <c r="W4" t="str">
        <f t="shared" si="0"/>
        <v>042.608.909-05</v>
      </c>
      <c r="X4" t="str">
        <f t="shared" si="0"/>
        <v/>
      </c>
      <c r="Y4" t="str">
        <f t="shared" si="0"/>
        <v>(43) 99923-6923</v>
      </c>
      <c r="Z4" t="str">
        <f t="shared" si="0"/>
        <v>ADEMIR FORNAZIELI</v>
      </c>
      <c r="AA4" t="str">
        <f>IF(AA6="",AA2,AA6)</f>
        <v>(43) 98826-8893</v>
      </c>
      <c r="AB4" t="str">
        <f t="shared" si="0"/>
        <v/>
      </c>
      <c r="AC4">
        <f t="shared" si="0"/>
        <v>5</v>
      </c>
      <c r="AD4" t="str">
        <f t="shared" si="0"/>
        <v>PRIMER CORES</v>
      </c>
      <c r="AE4" s="6" t="str">
        <f t="shared" si="0"/>
        <v>BRANCA</v>
      </c>
      <c r="AF4" s="6">
        <f t="shared" si="0"/>
        <v>1</v>
      </c>
      <c r="AG4">
        <f t="shared" si="0"/>
        <v>195</v>
      </c>
      <c r="AH4">
        <f t="shared" si="0"/>
        <v>195</v>
      </c>
      <c r="AI4">
        <f t="shared" si="0"/>
        <v>6</v>
      </c>
      <c r="AJ4" t="str">
        <f t="shared" si="0"/>
        <v>TINTA STANDARD CORES</v>
      </c>
      <c r="AK4" s="6" t="str">
        <f t="shared" si="0"/>
        <v>GELO</v>
      </c>
      <c r="AL4" s="6">
        <f t="shared" si="0"/>
        <v>1</v>
      </c>
      <c r="AM4">
        <f t="shared" si="0"/>
        <v>195</v>
      </c>
      <c r="AN4">
        <f t="shared" si="0"/>
        <v>195</v>
      </c>
      <c r="AO4">
        <f t="shared" si="0"/>
        <v>6</v>
      </c>
      <c r="AP4" t="str">
        <f t="shared" si="0"/>
        <v>TINTA STANDARD CORES</v>
      </c>
      <c r="AQ4" s="6" t="str">
        <f t="shared" si="0"/>
        <v>AREIA</v>
      </c>
      <c r="AR4" s="6">
        <f t="shared" si="0"/>
        <v>1</v>
      </c>
      <c r="AS4">
        <f t="shared" si="0"/>
        <v>195</v>
      </c>
      <c r="AT4">
        <f t="shared" si="0"/>
        <v>195</v>
      </c>
      <c r="AU4">
        <f t="shared" si="0"/>
        <v>6</v>
      </c>
      <c r="AV4" t="str">
        <f t="shared" si="0"/>
        <v>TINTA STANDARD CORES</v>
      </c>
      <c r="AW4" s="6" t="str">
        <f t="shared" si="0"/>
        <v>PALHA</v>
      </c>
      <c r="AX4" s="6">
        <f t="shared" si="0"/>
        <v>1</v>
      </c>
      <c r="AY4">
        <f t="shared" si="0"/>
        <v>195</v>
      </c>
      <c r="AZ4">
        <f t="shared" si="0"/>
        <v>195</v>
      </c>
      <c r="BA4">
        <f t="shared" si="0"/>
        <v>7</v>
      </c>
      <c r="BB4" t="str">
        <f t="shared" si="0"/>
        <v>TINTA PREMIUM CORES</v>
      </c>
      <c r="BC4" s="6" t="str">
        <f t="shared" si="0"/>
        <v>BRANCA</v>
      </c>
      <c r="BD4" s="6">
        <f t="shared" si="0"/>
        <v>1</v>
      </c>
      <c r="BE4">
        <f t="shared" si="0"/>
        <v>315</v>
      </c>
      <c r="BF4">
        <f t="shared" si="0"/>
        <v>315</v>
      </c>
      <c r="BG4">
        <f t="shared" si="0"/>
        <v>7</v>
      </c>
      <c r="BH4" t="str">
        <f t="shared" si="0"/>
        <v>TINTA PREMIUM CORES</v>
      </c>
      <c r="BI4" s="6" t="str">
        <f t="shared" si="0"/>
        <v>GELO</v>
      </c>
      <c r="BJ4" s="6">
        <f t="shared" si="0"/>
        <v>1</v>
      </c>
      <c r="BK4">
        <f t="shared" si="0"/>
        <v>315</v>
      </c>
      <c r="BL4">
        <f t="shared" si="0"/>
        <v>315</v>
      </c>
      <c r="BM4">
        <f t="shared" si="0"/>
        <v>12</v>
      </c>
      <c r="BN4" t="str">
        <f t="shared" si="0"/>
        <v>SELADOR ACRILICO</v>
      </c>
      <c r="BO4" s="6" t="str">
        <f t="shared" si="0"/>
        <v>-</v>
      </c>
      <c r="BP4" s="6">
        <f t="shared" si="0"/>
        <v>2</v>
      </c>
      <c r="BQ4">
        <f t="shared" si="0"/>
        <v>89.9</v>
      </c>
      <c r="BR4">
        <f t="shared" si="0"/>
        <v>179.8</v>
      </c>
      <c r="BS4">
        <f t="shared" si="0"/>
        <v>1</v>
      </c>
      <c r="BT4" t="str">
        <f t="shared" si="0"/>
        <v>MASSA CORRIDA</v>
      </c>
      <c r="BU4" s="6" t="str">
        <f t="shared" si="0"/>
        <v>-</v>
      </c>
      <c r="BV4" s="6">
        <f t="shared" si="0"/>
        <v>2</v>
      </c>
      <c r="BW4">
        <f t="shared" si="0"/>
        <v>35</v>
      </c>
      <c r="BX4">
        <f t="shared" si="0"/>
        <v>70</v>
      </c>
      <c r="BY4">
        <f t="shared" si="0"/>
        <v>10</v>
      </c>
      <c r="BZ4" t="str">
        <f t="shared" si="0"/>
        <v>TINTA PISO FOSCO</v>
      </c>
      <c r="CA4" s="6" t="str">
        <f t="shared" si="0"/>
        <v>CHUMBO</v>
      </c>
      <c r="CB4" s="6">
        <f t="shared" si="0"/>
        <v>1</v>
      </c>
      <c r="CC4">
        <f t="shared" si="0"/>
        <v>210</v>
      </c>
      <c r="CD4">
        <f t="shared" si="0"/>
        <v>210</v>
      </c>
      <c r="CE4">
        <f t="shared" si="0"/>
        <v>11</v>
      </c>
      <c r="CF4" t="str">
        <f t="shared" ref="CF4:DM4" si="1">IF(CF6="",CF2,CF6)</f>
        <v>TINTA PISO BRILHANTE</v>
      </c>
      <c r="CG4" s="6" t="str">
        <f t="shared" si="1"/>
        <v>CHUMBO</v>
      </c>
      <c r="CH4" s="6">
        <f t="shared" si="1"/>
        <v>1</v>
      </c>
      <c r="CI4">
        <f t="shared" si="1"/>
        <v>320</v>
      </c>
      <c r="CJ4">
        <f t="shared" si="1"/>
        <v>320</v>
      </c>
      <c r="CK4" t="str">
        <f t="shared" si="1"/>
        <v/>
      </c>
      <c r="CL4" t="str">
        <f t="shared" si="1"/>
        <v/>
      </c>
      <c r="CM4" s="6" t="str">
        <f t="shared" si="1"/>
        <v/>
      </c>
      <c r="CN4" s="6" t="str">
        <f t="shared" si="1"/>
        <v/>
      </c>
      <c r="CO4" t="str">
        <f t="shared" si="1"/>
        <v/>
      </c>
      <c r="CP4" t="str">
        <f t="shared" si="1"/>
        <v/>
      </c>
      <c r="CQ4" t="str">
        <f t="shared" si="1"/>
        <v/>
      </c>
      <c r="CR4" t="str">
        <f t="shared" si="1"/>
        <v/>
      </c>
      <c r="CS4" s="6" t="str">
        <f t="shared" si="1"/>
        <v/>
      </c>
      <c r="CT4" s="6" t="str">
        <f t="shared" si="1"/>
        <v/>
      </c>
      <c r="CU4" t="str">
        <f t="shared" si="1"/>
        <v/>
      </c>
      <c r="CV4" t="str">
        <f t="shared" si="1"/>
        <v/>
      </c>
      <c r="CW4" t="str">
        <f t="shared" si="1"/>
        <v/>
      </c>
      <c r="CX4" t="str">
        <f t="shared" si="1"/>
        <v/>
      </c>
      <c r="CY4" s="6" t="str">
        <f t="shared" si="1"/>
        <v/>
      </c>
      <c r="CZ4" s="6" t="str">
        <f t="shared" si="1"/>
        <v/>
      </c>
      <c r="DA4" t="str">
        <f t="shared" si="1"/>
        <v/>
      </c>
      <c r="DB4" t="str">
        <f t="shared" si="1"/>
        <v/>
      </c>
      <c r="DC4" t="str">
        <f t="shared" si="1"/>
        <v/>
      </c>
      <c r="DD4" t="str">
        <f t="shared" si="1"/>
        <v/>
      </c>
      <c r="DE4" s="6" t="str">
        <f t="shared" si="1"/>
        <v/>
      </c>
      <c r="DF4" s="6" t="str">
        <f t="shared" si="1"/>
        <v/>
      </c>
      <c r="DG4" t="str">
        <f t="shared" si="1"/>
        <v/>
      </c>
      <c r="DH4" t="str">
        <f t="shared" si="1"/>
        <v/>
      </c>
      <c r="DI4" t="str">
        <f t="shared" si="1"/>
        <v/>
      </c>
      <c r="DJ4" t="str">
        <f t="shared" si="1"/>
        <v/>
      </c>
      <c r="DK4" s="6" t="str">
        <f t="shared" si="1"/>
        <v/>
      </c>
      <c r="DL4" s="6" t="str">
        <f t="shared" si="1"/>
        <v/>
      </c>
      <c r="DM4" s="6" t="str">
        <f t="shared" si="1"/>
        <v/>
      </c>
      <c r="DN4" t="str">
        <f>IF(DN6="",DN2,DN6)</f>
        <v/>
      </c>
    </row>
    <row r="5" spans="1:118" ht="14.25" customHeight="1" x14ac:dyDescent="0.2">
      <c r="A5" s="27"/>
      <c r="B5" s="61" t="s">
        <v>162</v>
      </c>
      <c r="C5" s="58"/>
      <c r="D5" s="58"/>
      <c r="E5" s="28"/>
      <c r="F5" s="28"/>
      <c r="G5" s="60" t="s">
        <v>164</v>
      </c>
      <c r="H5" s="60"/>
      <c r="I5" s="58"/>
      <c r="J5" s="58"/>
      <c r="K5" s="14"/>
      <c r="L5" s="3"/>
      <c r="P5" t="s">
        <v>71</v>
      </c>
      <c r="Q5" t="s">
        <v>5</v>
      </c>
      <c r="R5" t="s">
        <v>2</v>
      </c>
      <c r="S5" t="s">
        <v>6</v>
      </c>
      <c r="T5" t="s">
        <v>38</v>
      </c>
      <c r="U5" t="s">
        <v>159</v>
      </c>
      <c r="V5" t="s">
        <v>158</v>
      </c>
      <c r="W5" t="s">
        <v>78</v>
      </c>
      <c r="X5" t="s">
        <v>11</v>
      </c>
      <c r="Y5" t="s">
        <v>80</v>
      </c>
      <c r="Z5" t="s">
        <v>81</v>
      </c>
      <c r="AA5" t="s">
        <v>157</v>
      </c>
      <c r="AB5" t="s">
        <v>39</v>
      </c>
      <c r="AC5" t="s">
        <v>40</v>
      </c>
      <c r="AD5" t="s">
        <v>41</v>
      </c>
      <c r="AE5" t="s">
        <v>42</v>
      </c>
      <c r="AF5" t="s">
        <v>43</v>
      </c>
      <c r="AG5" t="s">
        <v>44</v>
      </c>
      <c r="AH5" t="s">
        <v>45</v>
      </c>
      <c r="AI5" t="s">
        <v>46</v>
      </c>
      <c r="AJ5" t="s">
        <v>47</v>
      </c>
      <c r="AK5" t="s">
        <v>48</v>
      </c>
      <c r="AL5" t="s">
        <v>49</v>
      </c>
      <c r="AM5" t="s">
        <v>50</v>
      </c>
      <c r="AN5" t="s">
        <v>51</v>
      </c>
      <c r="AO5" t="s">
        <v>52</v>
      </c>
      <c r="AP5" t="s">
        <v>53</v>
      </c>
      <c r="AQ5" t="s">
        <v>54</v>
      </c>
      <c r="AR5" t="s">
        <v>55</v>
      </c>
      <c r="AS5" t="s">
        <v>56</v>
      </c>
      <c r="AT5" t="s">
        <v>57</v>
      </c>
      <c r="AU5" t="s">
        <v>58</v>
      </c>
      <c r="AV5" t="s">
        <v>59</v>
      </c>
      <c r="AW5" t="s">
        <v>60</v>
      </c>
      <c r="AX5" t="s">
        <v>61</v>
      </c>
      <c r="AY5" t="s">
        <v>62</v>
      </c>
      <c r="AZ5" t="s">
        <v>82</v>
      </c>
      <c r="BA5" t="s">
        <v>83</v>
      </c>
      <c r="BB5" t="s">
        <v>84</v>
      </c>
      <c r="BC5" t="s">
        <v>85</v>
      </c>
      <c r="BD5" t="s">
        <v>86</v>
      </c>
      <c r="BE5" t="s">
        <v>87</v>
      </c>
      <c r="BF5" t="s">
        <v>88</v>
      </c>
      <c r="BG5" t="s">
        <v>89</v>
      </c>
      <c r="BH5" t="s">
        <v>90</v>
      </c>
      <c r="BI5" t="s">
        <v>91</v>
      </c>
      <c r="BJ5" t="s">
        <v>92</v>
      </c>
      <c r="BK5" t="s">
        <v>93</v>
      </c>
      <c r="BL5" t="s">
        <v>94</v>
      </c>
      <c r="BM5" t="s">
        <v>95</v>
      </c>
      <c r="BN5" t="s">
        <v>96</v>
      </c>
      <c r="BO5" t="s">
        <v>97</v>
      </c>
      <c r="BP5" t="s">
        <v>98</v>
      </c>
      <c r="BQ5" t="s">
        <v>99</v>
      </c>
      <c r="BR5" t="s">
        <v>109</v>
      </c>
      <c r="BS5" t="s">
        <v>110</v>
      </c>
      <c r="BT5" t="s">
        <v>111</v>
      </c>
      <c r="BU5" t="s">
        <v>112</v>
      </c>
      <c r="BV5" t="s">
        <v>113</v>
      </c>
      <c r="BW5" t="s">
        <v>114</v>
      </c>
      <c r="BX5" t="s">
        <v>115</v>
      </c>
      <c r="BY5" t="s">
        <v>116</v>
      </c>
      <c r="BZ5" t="s">
        <v>117</v>
      </c>
      <c r="CA5" t="s">
        <v>118</v>
      </c>
      <c r="CB5" t="s">
        <v>119</v>
      </c>
      <c r="CC5" t="s">
        <v>120</v>
      </c>
      <c r="CD5" t="s">
        <v>121</v>
      </c>
      <c r="CE5" t="s">
        <v>122</v>
      </c>
      <c r="CF5" t="s">
        <v>123</v>
      </c>
      <c r="CG5" t="s">
        <v>124</v>
      </c>
      <c r="CH5" t="s">
        <v>125</v>
      </c>
      <c r="CI5" t="s">
        <v>126</v>
      </c>
      <c r="CJ5" t="s">
        <v>127</v>
      </c>
      <c r="CK5" t="s">
        <v>128</v>
      </c>
      <c r="CL5" t="s">
        <v>129</v>
      </c>
      <c r="CM5" t="s">
        <v>130</v>
      </c>
      <c r="CN5" t="s">
        <v>131</v>
      </c>
      <c r="CO5" t="s">
        <v>132</v>
      </c>
      <c r="CP5" t="s">
        <v>133</v>
      </c>
      <c r="CQ5" t="s">
        <v>134</v>
      </c>
      <c r="CR5" t="s">
        <v>135</v>
      </c>
      <c r="CS5" t="s">
        <v>136</v>
      </c>
      <c r="CT5" t="s">
        <v>137</v>
      </c>
      <c r="CU5" t="s">
        <v>138</v>
      </c>
      <c r="CV5" t="s">
        <v>139</v>
      </c>
      <c r="CW5" t="s">
        <v>140</v>
      </c>
      <c r="CX5" t="s">
        <v>141</v>
      </c>
      <c r="CY5" t="s">
        <v>142</v>
      </c>
      <c r="CZ5" t="s">
        <v>143</v>
      </c>
      <c r="DA5" t="s">
        <v>144</v>
      </c>
      <c r="DB5" t="s">
        <v>145</v>
      </c>
      <c r="DC5" t="s">
        <v>146</v>
      </c>
      <c r="DD5" t="s">
        <v>147</v>
      </c>
      <c r="DE5" t="s">
        <v>148</v>
      </c>
      <c r="DF5" t="s">
        <v>149</v>
      </c>
      <c r="DG5" t="s">
        <v>150</v>
      </c>
      <c r="DH5" t="s">
        <v>151</v>
      </c>
      <c r="DI5" t="s">
        <v>152</v>
      </c>
      <c r="DJ5" t="s">
        <v>153</v>
      </c>
      <c r="DK5" t="s">
        <v>154</v>
      </c>
      <c r="DL5" t="s">
        <v>155</v>
      </c>
      <c r="DM5" t="s">
        <v>156</v>
      </c>
      <c r="DN5" t="s">
        <v>160</v>
      </c>
    </row>
    <row r="6" spans="1:118" ht="14.25" customHeight="1" x14ac:dyDescent="0.2">
      <c r="A6" s="27"/>
      <c r="B6" s="61" t="s">
        <v>163</v>
      </c>
      <c r="C6" s="58"/>
      <c r="D6" s="58"/>
      <c r="E6" s="58"/>
      <c r="F6" s="58"/>
      <c r="G6" s="59"/>
      <c r="H6" s="58"/>
      <c r="I6" s="58"/>
      <c r="J6" s="58"/>
      <c r="K6" s="14"/>
      <c r="L6" s="3"/>
      <c r="Q6">
        <v>1</v>
      </c>
      <c r="R6" s="8">
        <f>IFERROR(IF(VLOOKUP($Q$6,BD!$A:$CW,2,FALSE)="","",VLOOKUP($Q$6,BD!$A:$CW,2,FALSE)),"")</f>
        <v>45590</v>
      </c>
      <c r="S6" s="5" t="str">
        <f>IFERROR(IF(VLOOKUP($Q$6,BD!$A:$CW,3,FALSE)="","",VLOOKUP($Q$6,BD!$A:$CW,3,FALSE)),"")</f>
        <v>PARA CASA MATERIAIS DE CONSTRUÇÃO LTDA</v>
      </c>
      <c r="T6" t="str">
        <f>IFERROR(IF(VLOOKUP($Q$6,BD!$A:$CW,4,FALSE)="","",VLOOKUP($Q$6,BD!$A:$CW,4,FALSE)),"")</f>
        <v>RUA GAVIÃO CINZENTO, 320</v>
      </c>
      <c r="V6" t="str">
        <f>IFERROR(IF(VLOOKUP($Q$6,BD!$A:$CW,5,FALSE)="","",VLOOKUP($Q$6,BD!$A:$CW,5,FALSE)),"")</f>
        <v/>
      </c>
      <c r="W6" t="str">
        <f>IFERROR(IF(VLOOKUP($Q$6,BD!$A:$CW,6,FALSE)="","",VLOOKUP($Q$6,BD!$A:$CW,6,FALSE)),"")</f>
        <v>042.608.909-05</v>
      </c>
      <c r="X6" t="str">
        <f>IFERROR(IF(VLOOKUP($Q$6,BD!$A:$CW,7,FALSE)="","",VLOOKUP($Q$6,BD!$A:$CW,7,FALSE)),"")</f>
        <v/>
      </c>
      <c r="Y6" t="str">
        <f>IFERROR(IF(VLOOKUP($Q$6,BD!$A:$CW,8,FALSE)="","",VLOOKUP($Q$6,BD!$A:$CW,8,FALSE)),"")</f>
        <v>(43) 99923-6923</v>
      </c>
      <c r="Z6" t="str">
        <f>IFERROR(IF(VLOOKUP($Q$6,BD!$A:$CW,9,FALSE)="","",VLOOKUP($Q$6,BD!$A:$CW,9,FALSE)),"")</f>
        <v>ADEMIR FORNAZIELI</v>
      </c>
      <c r="AA6" t="str">
        <f>IFERROR(IF(VLOOKUP($Q$6,BD!$A:$CW,10,FALSE)="","",VLOOKUP($Q$6,BD!$A:$CW,10,FALSE)),"")</f>
        <v>(43) 98826-8893</v>
      </c>
      <c r="AB6" t="str">
        <f>IFERROR(IF(VLOOKUP($Q$6,BD!$A:$CW,11,FALSE)="","",VLOOKUP($Q$6,BD!$A:$CW,11,FALSE)),"")</f>
        <v/>
      </c>
      <c r="AC6">
        <f>IFERROR(IF(VLOOKUP($Q$6,BD!$A:$CW,12,FALSE)="","",VLOOKUP($Q$6,BD!$A:$CW,12,FALSE)),"")</f>
        <v>5</v>
      </c>
      <c r="AD6" t="str">
        <f>IFERROR(IF(VLOOKUP($Q$6,BD!$A:$CW,13,FALSE)="","",VLOOKUP($Q$6,BD!$A:$CW,13,FALSE)),"")</f>
        <v>PRIMER CORES</v>
      </c>
      <c r="AE6" s="6" t="str">
        <f>IFERROR(IF(VLOOKUP($Q$6,BD!$A:$CW,14,FALSE)="","",VLOOKUP($Q$6,BD!$A:$CW,14,FALSE)),"")</f>
        <v>BRANCA</v>
      </c>
      <c r="AF6" s="6">
        <f>IFERROR(IF(VLOOKUP($Q$6,BD!$A:$CW,15,FALSE)="","",VLOOKUP($Q$6,BD!$A:$CW,15,FALSE)),"")</f>
        <v>1</v>
      </c>
      <c r="AG6">
        <f>IFERROR(IF(VLOOKUP($Q$6,BD!$A:$CW,16,FALSE)="","",VLOOKUP($Q$6,BD!$A:$CW,16,FALSE)),"")</f>
        <v>195</v>
      </c>
      <c r="AH6">
        <f>IFERROR(IF(VLOOKUP($Q$6,BD!$A:$CW,17,FALSE)="","",VLOOKUP($Q$6,BD!$A:$CW,17,FALSE)),"")</f>
        <v>195</v>
      </c>
      <c r="AI6">
        <f>IFERROR(IF(VLOOKUP($Q$6,BD!$A:$CW,18,FALSE)="","",VLOOKUP($Q$6,BD!$A:$CW,18,FALSE)),"")</f>
        <v>6</v>
      </c>
      <c r="AJ6" t="str">
        <f>IFERROR(IF(VLOOKUP($Q$6,BD!$A:$CW,19,FALSE)="","",VLOOKUP($Q$6,BD!$A:$CW,19,FALSE)),"")</f>
        <v>TINTA STANDARD CORES</v>
      </c>
      <c r="AK6" s="6" t="str">
        <f>IFERROR(IF(VLOOKUP($Q$6,BD!$A:$CW,20,FALSE)="","",VLOOKUP($Q$6,BD!$A:$CW,20,FALSE)),"")</f>
        <v>GELO</v>
      </c>
      <c r="AL6" s="6">
        <f>IFERROR(IF(VLOOKUP($Q$6,BD!$A:$CW,21,FALSE)="","",VLOOKUP($Q$6,BD!$A:$CW,21,FALSE)),"")</f>
        <v>1</v>
      </c>
      <c r="AM6">
        <f>IFERROR(IF(VLOOKUP($Q$6,BD!$A:$CW,22,FALSE)="","",VLOOKUP($Q$6,BD!$A:$CW,22,FALSE)),"")</f>
        <v>195</v>
      </c>
      <c r="AN6">
        <f>IFERROR(IF(VLOOKUP($Q$6,BD!$A:$CW,23,FALSE)="","",VLOOKUP($Q$6,BD!$A:$CW,23,FALSE)),"")</f>
        <v>195</v>
      </c>
      <c r="AO6">
        <f>IFERROR(IF(VLOOKUP($Q$6,BD!$A:$CW,24,FALSE)="","",VLOOKUP($Q$6,BD!$A:$CW,24,FALSE)),"")</f>
        <v>6</v>
      </c>
      <c r="AP6" t="str">
        <f>IFERROR(IF(VLOOKUP($Q$6,BD!$A:$CW,25,FALSE)="","",VLOOKUP($Q$6,BD!$A:$CW,25,FALSE)),"")</f>
        <v>TINTA STANDARD CORES</v>
      </c>
      <c r="AQ6" s="6" t="str">
        <f>IFERROR(IF(VLOOKUP($Q$6,BD!$A:$CW,26,FALSE)="","",VLOOKUP($Q$6,BD!$A:$CW,26,FALSE)),"")</f>
        <v>AREIA</v>
      </c>
      <c r="AR6" s="6">
        <f>IFERROR(IF(VLOOKUP($Q$6,BD!$A:$CW,27,FALSE)="","",VLOOKUP($Q$6,BD!$A:$CW,27,FALSE)),"")</f>
        <v>1</v>
      </c>
      <c r="AS6">
        <f>IFERROR(IF(VLOOKUP($Q$6,BD!$A:$CW,28,FALSE)="","",VLOOKUP($Q$6,BD!$A:$CW,28,FALSE)),"")</f>
        <v>195</v>
      </c>
      <c r="AT6">
        <f>IFERROR(IF(VLOOKUP($Q$6,BD!$A:$CW,29,FALSE)="","",VLOOKUP($Q$6,BD!$A:$CW,29,FALSE)),"")</f>
        <v>195</v>
      </c>
      <c r="AU6">
        <f>IFERROR(IF(VLOOKUP($Q$6,BD!$A:$CW,30,FALSE)="","",VLOOKUP($Q$6,BD!$A:$CW,30,FALSE)),"")</f>
        <v>6</v>
      </c>
      <c r="AV6" t="str">
        <f>IFERROR(IF(VLOOKUP($Q$6,BD!$A:$CW,31,FALSE)="","",VLOOKUP($Q$6,BD!$A:$CW,31,FALSE)),"")</f>
        <v>TINTA STANDARD CORES</v>
      </c>
      <c r="AW6" s="6" t="str">
        <f>IFERROR(IF(VLOOKUP($Q$6,BD!$A:$CW,32,FALSE)="","",VLOOKUP($Q$6,BD!$A:$CW,32,FALSE)),"")</f>
        <v>PALHA</v>
      </c>
      <c r="AX6" s="6">
        <f>IFERROR(IF(VLOOKUP($Q$6,BD!$A:$CW,33,FALSE)="","",VLOOKUP($Q$6,BD!$A:$CW,33,FALSE)),"")</f>
        <v>1</v>
      </c>
      <c r="AY6">
        <f>IFERROR(IF(VLOOKUP($Q$6,BD!$A:$CW,34,FALSE)="","",VLOOKUP($Q$6,BD!$A:$CW,34,FALSE)),"")</f>
        <v>195</v>
      </c>
      <c r="AZ6">
        <f>IFERROR(IF(VLOOKUP($Q$6,BD!$A:$CW,35,FALSE)="","",VLOOKUP($Q$6,BD!$A:$CW,35,FALSE)),"")</f>
        <v>195</v>
      </c>
      <c r="BA6">
        <f>IFERROR(IF(VLOOKUP($Q$6,BD!$A:$CW,36,FALSE)="","",VLOOKUP($Q$6,BD!$A:$CW,36,FALSE)),"")</f>
        <v>7</v>
      </c>
      <c r="BB6" t="str">
        <f>IFERROR(IF(VLOOKUP($Q$6,BD!$A:$CW,37,FALSE)="","",VLOOKUP($Q$6,BD!$A:$CW,37,FALSE)),"")</f>
        <v>TINTA PREMIUM CORES</v>
      </c>
      <c r="BC6" s="6" t="str">
        <f>IFERROR(IF(VLOOKUP($Q$6,BD!$A:$CW,38,FALSE)="","",VLOOKUP($Q$6,BD!$A:$CW,38,FALSE)),"")</f>
        <v>BRANCA</v>
      </c>
      <c r="BD6" s="6">
        <f>IFERROR(IF(VLOOKUP($Q$6,BD!$A:$CW,39,FALSE)="","",VLOOKUP($Q$6,BD!$A:$CW,39,FALSE)),"")</f>
        <v>1</v>
      </c>
      <c r="BE6">
        <f>IFERROR(IF(VLOOKUP($Q$6,BD!$A:$CW,40,FALSE)="","",VLOOKUP($Q$6,BD!$A:$CW,40,FALSE)),"")</f>
        <v>315</v>
      </c>
      <c r="BF6">
        <f>IFERROR(IF(VLOOKUP($Q$6,BD!$A:$CW,41,FALSE)="","",VLOOKUP($Q$6,BD!$A:$CW,41,FALSE)),"")</f>
        <v>315</v>
      </c>
      <c r="BG6">
        <f>IFERROR(IF(VLOOKUP($Q$6,BD!$A:$CW,42,FALSE)="","",VLOOKUP($Q$6,BD!$A:$CW,42,FALSE)),"")</f>
        <v>7</v>
      </c>
      <c r="BH6" t="str">
        <f>IFERROR(IF(VLOOKUP($Q$6,BD!$A:$CW,43,FALSE)="","",VLOOKUP($Q$6,BD!$A:$CW,43,FALSE)),"")</f>
        <v>TINTA PREMIUM CORES</v>
      </c>
      <c r="BI6" s="6" t="str">
        <f>IFERROR(IF(VLOOKUP($Q$6,BD!$A:$CW,44,FALSE)="","",VLOOKUP($Q$6,BD!$A:$CW,44,FALSE)),"")</f>
        <v>GELO</v>
      </c>
      <c r="BJ6" s="6">
        <f>IFERROR(IF(VLOOKUP($Q$6,BD!$A:$CW,45,FALSE)="","",VLOOKUP($Q$6,BD!$A:$CW,45,FALSE)),"")</f>
        <v>1</v>
      </c>
      <c r="BK6">
        <f>IFERROR(IF(VLOOKUP($Q$6,BD!$A:$CW,46,FALSE)="","",VLOOKUP($Q$6,BD!$A:$CW,46,FALSE)),"")</f>
        <v>315</v>
      </c>
      <c r="BL6">
        <f>IFERROR(IF(VLOOKUP($Q$6,BD!$A:$CW,47,FALSE)="","",VLOOKUP($Q$6,BD!$A:$CW,47,FALSE)),"")</f>
        <v>315</v>
      </c>
      <c r="BM6">
        <f>IFERROR(IF(VLOOKUP($Q$6,BD!$A:$CW,48,FALSE)="","",VLOOKUP($Q$6,BD!$A:$CW,48,FALSE)),"")</f>
        <v>12</v>
      </c>
      <c r="BN6" t="str">
        <f>IFERROR(IF(VLOOKUP($Q$6,BD!$A:$CW,49,FALSE)="","",VLOOKUP($Q$6,BD!$A:$CW,49,FALSE)),"")</f>
        <v>SELADOR ACRILICO</v>
      </c>
      <c r="BO6" s="6" t="str">
        <f>IFERROR(IF(VLOOKUP($Q$6,BD!$A:$CW,50,FALSE)="","",VLOOKUP($Q$6,BD!$A:$CW,50,FALSE)),"")</f>
        <v>-</v>
      </c>
      <c r="BP6" s="6">
        <f>IFERROR(IF(VLOOKUP($Q$6,BD!$A:$CW,51,FALSE)="","",VLOOKUP($Q$6,BD!$A:$CW,51,FALSE)),"")</f>
        <v>2</v>
      </c>
      <c r="BQ6">
        <f>IFERROR(IF(VLOOKUP($Q$6,BD!$A:$CW,52,FALSE)="","",VLOOKUP($Q$6,BD!$A:$CW,52,FALSE)),"")</f>
        <v>89.9</v>
      </c>
      <c r="BR6">
        <f>IFERROR(IF(VLOOKUP($Q$6,BD!$A:$CW,53,FALSE)="","",VLOOKUP($Q$6,BD!$A:$CW,53,FALSE)),"")</f>
        <v>179.8</v>
      </c>
      <c r="BS6">
        <f>IFERROR(IF(VLOOKUP($Q$6,BD!$A:$CW,54,FALSE)="","",VLOOKUP($Q$6,BD!$A:$CW,54,FALSE)),"")</f>
        <v>1</v>
      </c>
      <c r="BT6" t="str">
        <f>IFERROR(IF(VLOOKUP($Q$6,BD!$A:$CW,55,FALSE)="","",VLOOKUP($Q$6,BD!$A:$CW,55,FALSE)),"")</f>
        <v>MASSA CORRIDA</v>
      </c>
      <c r="BU6" s="6" t="str">
        <f>IFERROR(IF(VLOOKUP($Q$6,BD!$A:$CW,56,FALSE)="","",VLOOKUP($Q$6,BD!$A:$CW,56,FALSE)),"")</f>
        <v>-</v>
      </c>
      <c r="BV6" s="6">
        <f>IFERROR(IF(VLOOKUP($Q$6,BD!$A:$CW,57,FALSE)="","",VLOOKUP($Q$6,BD!$A:$CW,57,FALSE)),"")</f>
        <v>2</v>
      </c>
      <c r="BW6">
        <f>IFERROR(IF(VLOOKUP($Q$6,BD!$A:$CW,58,FALSE)="","",VLOOKUP($Q$6,BD!$A:$CW,58,FALSE)),"")</f>
        <v>35</v>
      </c>
      <c r="BX6">
        <f>IFERROR(IF(VLOOKUP($Q$6,BD!$A:$CW,59,FALSE)="","",VLOOKUP($Q$6,BD!$A:$CW,59,FALSE)),"")</f>
        <v>70</v>
      </c>
      <c r="BY6">
        <f>IFERROR(IF(VLOOKUP($Q$6,BD!$A:$CW,60,FALSE)="","",VLOOKUP($Q$6,BD!$A:$CW,60,FALSE)),"")</f>
        <v>10</v>
      </c>
      <c r="BZ6" t="str">
        <f>IFERROR(IF(VLOOKUP($Q$6,BD!$A:$CW,61,FALSE)="","",VLOOKUP($Q$6,BD!$A:$CW,61,FALSE)),"")</f>
        <v>TINTA PISO FOSCO</v>
      </c>
      <c r="CA6" s="6" t="str">
        <f>IFERROR(IF(VLOOKUP($Q$6,BD!$A:$CW,62,FALSE)="","",VLOOKUP($Q$6,BD!$A:$CW,62,FALSE)),"")</f>
        <v>CHUMBO</v>
      </c>
      <c r="CB6" s="6">
        <f>IFERROR(IF(VLOOKUP($Q$6,BD!$A:$CW,63,FALSE)="","",VLOOKUP($Q$6,BD!$A:$CW,63,FALSE)),"")</f>
        <v>1</v>
      </c>
      <c r="CC6">
        <f>IFERROR(IF(VLOOKUP($Q$6,BD!$A:$CW,64,FALSE)="","",VLOOKUP($Q$6,BD!$A:$CW,64,FALSE)),"")</f>
        <v>210</v>
      </c>
      <c r="CD6">
        <f>IFERROR(IF(VLOOKUP($Q$6,BD!$A:$CW,65,FALSE)="","",VLOOKUP($Q$6,BD!$A:$CW,65,FALSE)),"")</f>
        <v>210</v>
      </c>
      <c r="CE6">
        <f>IFERROR(IF(VLOOKUP($Q$6,BD!$A:$CW,66,FALSE)="","",VLOOKUP($Q$6,BD!$A:$CW,66,FALSE)),"")</f>
        <v>11</v>
      </c>
      <c r="CF6" t="str">
        <f>IFERROR(IF(VLOOKUP($Q$6,BD!$A:$CW,67,FALSE)="","",VLOOKUP($Q$6,BD!$A:$CW,67,FALSE)),"")</f>
        <v>TINTA PISO BRILHANTE</v>
      </c>
      <c r="CG6" s="6" t="str">
        <f>IFERROR(IF(VLOOKUP($Q$6,BD!$A:$CW,68,FALSE)="","",VLOOKUP($Q$6,BD!$A:$CW,68,FALSE)),"")</f>
        <v>CHUMBO</v>
      </c>
      <c r="CH6" s="6">
        <f>IFERROR(IF(VLOOKUP($Q$6,BD!$A:$CW,69,FALSE)="","",VLOOKUP($Q$6,BD!$A:$CW,69,FALSE)),"")</f>
        <v>1</v>
      </c>
      <c r="CI6">
        <f>IFERROR(IF(VLOOKUP($Q$6,BD!$A:$CW,70,FALSE)="","",VLOOKUP($Q$6,BD!$A:$CW,70,FALSE)),"")</f>
        <v>320</v>
      </c>
      <c r="CJ6">
        <f>IFERROR(IF(VLOOKUP($Q$6,BD!$A:$CW,71,FALSE)="","",VLOOKUP($Q$6,BD!$A:$CW,71,FALSE)),"")</f>
        <v>320</v>
      </c>
      <c r="CK6" t="str">
        <f>IFERROR(IF(VLOOKUP($Q$6,BD!$A:$CW,72,FALSE)="","",VLOOKUP($Q$6,BD!$A:$CW,72,FALSE)),"")</f>
        <v/>
      </c>
      <c r="CL6" t="str">
        <f>IFERROR(IF(VLOOKUP($Q$6,BD!$A:$CW,73,FALSE)="","",VLOOKUP($Q$6,BD!$A:$CW,73,FALSE)),"")</f>
        <v/>
      </c>
      <c r="CM6" s="6" t="str">
        <f>IFERROR(IF(VLOOKUP($Q$6,BD!$A:$CW,74,FALSE)="","",VLOOKUP($Q$6,BD!$A:$CW,74,FALSE)),"")</f>
        <v/>
      </c>
      <c r="CN6" s="6" t="str">
        <f>IFERROR(IF(VLOOKUP($Q$6,BD!$A:$CW,75,FALSE)="","",VLOOKUP($Q$6,BD!$A:$CW,75,FALSE)),"")</f>
        <v/>
      </c>
      <c r="CO6" t="str">
        <f>IFERROR(IF(VLOOKUP($Q$6,BD!$A:$CW,76,FALSE)="","",VLOOKUP($Q$6,BD!$A:$CW,76,FALSE)),"")</f>
        <v/>
      </c>
      <c r="CP6" t="str">
        <f>IFERROR(IF(VLOOKUP($Q$6,BD!$A:$CW,77,FALSE)="","",VLOOKUP($Q$6,BD!$A:$CW,77,FALSE)),"")</f>
        <v/>
      </c>
      <c r="CQ6" t="str">
        <f>IFERROR(IF(VLOOKUP($Q$6,BD!$A:$CW,78,FALSE)="","",VLOOKUP($Q$6,BD!$A:$CW,78,FALSE)),"")</f>
        <v/>
      </c>
      <c r="CR6" t="str">
        <f>IFERROR(IF(VLOOKUP($Q$6,BD!$A:$CW,79,FALSE)="","",VLOOKUP($Q$6,BD!$A:$CW,79,FALSE)),"")</f>
        <v/>
      </c>
      <c r="CS6" s="6" t="str">
        <f>IFERROR(IF(VLOOKUP($Q$6,BD!$A:$CW,80,FALSE)="","",VLOOKUP($Q$6,BD!$A:$CW,80,FALSE)),"")</f>
        <v/>
      </c>
      <c r="CT6" s="6" t="str">
        <f>IFERROR(IF(VLOOKUP($Q$6,BD!$A:$CW,81,FALSE)="","",VLOOKUP($Q$6,BD!$A:$CW,81,FALSE)),"")</f>
        <v/>
      </c>
      <c r="CU6" t="str">
        <f>IFERROR(IF(VLOOKUP($Q$6,BD!$A:$CW,82,FALSE)="","",VLOOKUP($Q$6,BD!$A:$CW,82,FALSE)),"")</f>
        <v/>
      </c>
      <c r="CV6" t="str">
        <f>IFERROR(IF(VLOOKUP($Q$6,BD!$A:$CW,83,FALSE)="","",VLOOKUP($Q$6,BD!$A:$CW,83,FALSE)),"")</f>
        <v/>
      </c>
      <c r="CW6" t="str">
        <f>IFERROR(IF(VLOOKUP($Q$6,BD!$A:$CW,84,FALSE)="","",VLOOKUP($Q$6,BD!$A:$CW,84,FALSE)),"")</f>
        <v/>
      </c>
      <c r="CX6" t="str">
        <f>IFERROR(IF(VLOOKUP($Q$6,BD!$A:$CW,85,FALSE)="","",VLOOKUP($Q$6,BD!$A:$CW,85,FALSE)),"")</f>
        <v/>
      </c>
      <c r="CY6" s="6" t="str">
        <f>IFERROR(IF(VLOOKUP($Q$6,BD!$A:$CW,86,FALSE)="","",VLOOKUP($Q$6,BD!$A:$CW,86,FALSE)),"")</f>
        <v/>
      </c>
      <c r="CZ6" s="6" t="str">
        <f>IFERROR(IF(VLOOKUP($Q$6,BD!$A:$CW,87,FALSE)="","",VLOOKUP($Q$6,BD!$A:$CW,87,FALSE)),"")</f>
        <v/>
      </c>
      <c r="DA6" t="str">
        <f>IFERROR(IF(VLOOKUP($Q$6,BD!$A:$CW,88,FALSE)="","",VLOOKUP($Q$6,BD!$A:$CW,88,FALSE)),"")</f>
        <v/>
      </c>
      <c r="DB6" t="str">
        <f>IFERROR(IF(VLOOKUP($Q$6,BD!$A:$CW,89,FALSE)="","",VLOOKUP($Q$6,BD!$A:$CW,89,FALSE)),"")</f>
        <v/>
      </c>
      <c r="DC6" t="str">
        <f>IFERROR(IF(VLOOKUP($Q$6,BD!$A:$CW,90,FALSE)="","",VLOOKUP($Q$6,BD!$A:$CW,90,FALSE)),"")</f>
        <v/>
      </c>
      <c r="DD6" t="str">
        <f>IFERROR(IF(VLOOKUP($Q$6,BD!$A:$CW,91,FALSE)="","",VLOOKUP($Q$6,BD!$A:$CW,91,FALSE)),"")</f>
        <v/>
      </c>
      <c r="DE6" s="6" t="str">
        <f>IFERROR(IF(VLOOKUP($Q$6,BD!$A:$CW,92,FALSE)="","",VLOOKUP($Q$6,BD!$A:$CW,92,FALSE)),"")</f>
        <v/>
      </c>
      <c r="DF6" s="6" t="str">
        <f>IFERROR(IF(VLOOKUP($Q$6,BD!$A:$CW,93,FALSE)="","",VLOOKUP($Q$6,BD!$A:$CW,93,FALSE)),"")</f>
        <v/>
      </c>
      <c r="DG6" t="str">
        <f>IFERROR(IF(VLOOKUP($Q$6,BD!$A:$CW,94,FALSE)="","",VLOOKUP($Q$6,BD!$A:$CW,94,FALSE)),"")</f>
        <v/>
      </c>
      <c r="DH6" t="str">
        <f>IFERROR(IF(VLOOKUP($Q$6,BD!$A:$CW,95,FALSE)="","",VLOOKUP($Q$6,BD!$A:$CW,95,FALSE)),"")</f>
        <v/>
      </c>
      <c r="DI6" t="str">
        <f>IFERROR(IF(VLOOKUP($Q$6,BD!$A:$CW,96,FALSE)="","",VLOOKUP($Q$6,BD!$A:$CW,96,FALSE)),"")</f>
        <v/>
      </c>
      <c r="DJ6" t="str">
        <f>IFERROR(IF(VLOOKUP($Q$6,BD!$A:$CW,97,FALSE)="","",VLOOKUP($Q$6,BD!$A:$CW,97,FALSE)),"")</f>
        <v/>
      </c>
      <c r="DK6" s="6" t="str">
        <f>IFERROR(IF(VLOOKUP($Q$6,BD!$A:$CW,98,FALSE)="","",VLOOKUP($Q$6,BD!$A:$CW,98,FALSE)),"")</f>
        <v/>
      </c>
      <c r="DL6" s="6" t="str">
        <f>IFERROR(IF(VLOOKUP($Q$6,BD!$A:$CW,99,FALSE)="","",VLOOKUP($Q$6,BD!$A:$CW,99,FALSE)),"")</f>
        <v/>
      </c>
      <c r="DM6" s="6" t="str">
        <f>IFERROR(IF(VLOOKUP($Q$6,BD!$A:$CW,100,FALSE)="","",VLOOKUP($Q$6,BD!$A:$CW,100,FALSE)),"")</f>
        <v/>
      </c>
    </row>
    <row r="7" spans="1:118" ht="15" x14ac:dyDescent="0.25">
      <c r="A7" s="30"/>
      <c r="B7" s="30" t="s">
        <v>165</v>
      </c>
      <c r="C7" s="62"/>
      <c r="D7" s="63"/>
      <c r="E7" s="63"/>
      <c r="F7" s="30"/>
      <c r="G7" s="30" t="s">
        <v>166</v>
      </c>
      <c r="H7" s="64"/>
      <c r="I7" s="65"/>
      <c r="J7" s="65"/>
      <c r="K7" s="15"/>
    </row>
    <row r="8" spans="1:118" ht="15" x14ac:dyDescent="0.25">
      <c r="A8" s="30"/>
      <c r="B8" s="33"/>
      <c r="C8" s="34"/>
      <c r="D8" s="34"/>
      <c r="E8" s="30"/>
      <c r="F8" s="30"/>
      <c r="G8" s="34"/>
      <c r="H8" s="33"/>
      <c r="I8" s="34"/>
      <c r="J8" s="34"/>
      <c r="K8" s="15"/>
      <c r="N8" s="7" t="s">
        <v>1</v>
      </c>
    </row>
    <row r="9" spans="1:118" ht="15" x14ac:dyDescent="0.25">
      <c r="A9" s="30"/>
      <c r="B9" s="31"/>
      <c r="C9" s="35"/>
      <c r="D9" s="35"/>
      <c r="E9" s="35"/>
      <c r="F9" s="35"/>
      <c r="G9" s="35"/>
      <c r="H9" s="31"/>
      <c r="I9" s="35"/>
      <c r="J9" s="35"/>
      <c r="K9" s="15"/>
    </row>
    <row r="10" spans="1:118" ht="15" x14ac:dyDescent="0.25">
      <c r="A10" s="30"/>
      <c r="B10" s="31"/>
      <c r="C10" s="35"/>
      <c r="D10" s="35"/>
      <c r="E10" s="35"/>
      <c r="F10" s="35"/>
      <c r="G10" s="35"/>
      <c r="H10" s="31"/>
      <c r="I10" s="36"/>
      <c r="J10" s="36"/>
      <c r="K10" s="15"/>
    </row>
    <row r="11" spans="1:118" ht="15" x14ac:dyDescent="0.25">
      <c r="A11" s="30"/>
      <c r="B11" s="31"/>
      <c r="C11" s="35"/>
      <c r="D11" s="35"/>
      <c r="E11" s="35"/>
      <c r="F11" s="35"/>
      <c r="G11" s="35"/>
      <c r="H11" s="31"/>
      <c r="I11" s="35"/>
      <c r="J11" s="35"/>
      <c r="K11" s="15"/>
    </row>
    <row r="12" spans="1:118" ht="15" x14ac:dyDescent="0.25">
      <c r="A12" s="30"/>
      <c r="B12" s="31"/>
      <c r="C12" s="35"/>
      <c r="D12" s="35"/>
      <c r="E12" s="34"/>
      <c r="F12" s="35"/>
      <c r="G12" s="34"/>
      <c r="H12" s="31"/>
      <c r="I12" s="35"/>
      <c r="J12" s="35"/>
      <c r="K12" s="15"/>
      <c r="N12" s="7" t="s">
        <v>3</v>
      </c>
    </row>
    <row r="13" spans="1:118" ht="15" x14ac:dyDescent="0.25">
      <c r="A13" s="30"/>
      <c r="B13" s="34"/>
      <c r="C13" s="34"/>
      <c r="D13" s="34"/>
      <c r="E13" s="34"/>
      <c r="F13" s="34"/>
      <c r="G13" s="34"/>
      <c r="H13" s="31"/>
      <c r="I13" s="37"/>
      <c r="J13" s="37"/>
      <c r="K13" s="15"/>
      <c r="N13" s="7"/>
    </row>
    <row r="14" spans="1:118" ht="15" x14ac:dyDescent="0.25">
      <c r="A14" s="30"/>
      <c r="B14" s="31"/>
      <c r="C14" s="32"/>
      <c r="D14" s="34"/>
      <c r="E14" s="34"/>
      <c r="F14" s="34"/>
      <c r="G14" s="34"/>
      <c r="H14" s="31"/>
      <c r="I14" s="37"/>
      <c r="J14" s="37"/>
      <c r="K14" s="15"/>
      <c r="N14" s="7"/>
    </row>
    <row r="15" spans="1:118" ht="15" x14ac:dyDescent="0.25">
      <c r="A15" s="30"/>
      <c r="B15" s="31"/>
      <c r="C15" s="35"/>
      <c r="D15" s="35"/>
      <c r="E15" s="35"/>
      <c r="F15" s="35"/>
      <c r="G15" s="35"/>
      <c r="H15" s="31"/>
      <c r="I15" s="35"/>
      <c r="J15" s="35"/>
      <c r="K15" s="15"/>
      <c r="N15" s="7"/>
    </row>
    <row r="16" spans="1:118" ht="15" x14ac:dyDescent="0.25">
      <c r="A16" s="30"/>
      <c r="B16" s="31"/>
      <c r="C16" s="31"/>
      <c r="D16" s="31"/>
      <c r="E16" s="31"/>
      <c r="F16" s="31"/>
      <c r="G16" s="31"/>
      <c r="H16" s="31"/>
      <c r="I16" s="31"/>
      <c r="J16" s="31"/>
      <c r="K16" s="15"/>
      <c r="N16" s="7" t="s">
        <v>0</v>
      </c>
    </row>
    <row r="17" spans="1:16" ht="15" x14ac:dyDescent="0.25">
      <c r="A17" s="30"/>
      <c r="B17" s="31"/>
      <c r="C17" s="31"/>
      <c r="D17" s="38"/>
      <c r="E17" s="38"/>
      <c r="F17" s="38"/>
      <c r="G17" s="38"/>
      <c r="H17" s="38"/>
      <c r="I17" s="38"/>
      <c r="J17" s="38"/>
      <c r="K17" s="15"/>
      <c r="N17" s="7"/>
    </row>
    <row r="18" spans="1:16" ht="15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15"/>
    </row>
    <row r="19" spans="1:16" x14ac:dyDescent="0.2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16"/>
    </row>
    <row r="20" spans="1:16" ht="15" x14ac:dyDescent="0.25">
      <c r="A20" s="30"/>
      <c r="B20" s="27"/>
      <c r="C20" s="28"/>
      <c r="D20" s="28"/>
      <c r="E20" s="28"/>
      <c r="F20" s="28"/>
      <c r="G20" s="27"/>
      <c r="H20" s="27"/>
      <c r="I20" s="27"/>
      <c r="J20" s="27"/>
      <c r="K20" s="15"/>
    </row>
    <row r="21" spans="1:16" ht="15" x14ac:dyDescent="0.25">
      <c r="A21" s="30"/>
      <c r="B21" s="32"/>
      <c r="C21" s="35"/>
      <c r="D21" s="35"/>
      <c r="E21" s="35"/>
      <c r="F21" s="35"/>
      <c r="G21" s="39"/>
      <c r="H21" s="32"/>
      <c r="I21" s="40"/>
      <c r="J21" s="41"/>
      <c r="K21" s="15"/>
    </row>
    <row r="22" spans="1:16" ht="15" x14ac:dyDescent="0.25">
      <c r="A22" s="30"/>
      <c r="B22" s="32"/>
      <c r="C22" s="35"/>
      <c r="D22" s="35"/>
      <c r="E22" s="35"/>
      <c r="F22" s="35"/>
      <c r="G22" s="39"/>
      <c r="H22" s="32"/>
      <c r="I22" s="40"/>
      <c r="J22" s="41"/>
      <c r="K22" s="15"/>
    </row>
    <row r="23" spans="1:16" ht="15" x14ac:dyDescent="0.25">
      <c r="A23" s="30"/>
      <c r="B23" s="32"/>
      <c r="C23" s="35"/>
      <c r="D23" s="35"/>
      <c r="E23" s="35"/>
      <c r="F23" s="35"/>
      <c r="G23" s="39"/>
      <c r="H23" s="32"/>
      <c r="I23" s="40"/>
      <c r="J23" s="41"/>
      <c r="K23" s="15"/>
    </row>
    <row r="24" spans="1:16" ht="15" x14ac:dyDescent="0.25">
      <c r="A24" s="30"/>
      <c r="B24" s="32"/>
      <c r="C24" s="35"/>
      <c r="D24" s="35"/>
      <c r="E24" s="35"/>
      <c r="F24" s="35"/>
      <c r="G24" s="39"/>
      <c r="H24" s="32"/>
      <c r="I24" s="40"/>
      <c r="J24" s="41"/>
      <c r="K24" s="15"/>
    </row>
    <row r="25" spans="1:16" ht="15" x14ac:dyDescent="0.25">
      <c r="A25" s="30"/>
      <c r="B25" s="32"/>
      <c r="C25" s="35"/>
      <c r="D25" s="35"/>
      <c r="E25" s="35"/>
      <c r="F25" s="35"/>
      <c r="G25" s="39"/>
      <c r="H25" s="32"/>
      <c r="I25" s="40"/>
      <c r="J25" s="41"/>
      <c r="K25" s="15"/>
    </row>
    <row r="26" spans="1:16" ht="15" x14ac:dyDescent="0.25">
      <c r="A26" s="30"/>
      <c r="B26" s="32"/>
      <c r="C26" s="35"/>
      <c r="D26" s="35"/>
      <c r="E26" s="35"/>
      <c r="F26" s="35"/>
      <c r="G26" s="39"/>
      <c r="H26" s="32"/>
      <c r="I26" s="40"/>
      <c r="J26" s="41"/>
      <c r="K26" s="15"/>
      <c r="M26" s="5"/>
      <c r="N26" s="10"/>
      <c r="O26" s="11"/>
      <c r="P26" s="11"/>
    </row>
    <row r="27" spans="1:16" ht="15" customHeight="1" x14ac:dyDescent="0.25">
      <c r="A27" s="30"/>
      <c r="B27" s="32"/>
      <c r="C27" s="35"/>
      <c r="D27" s="35"/>
      <c r="E27" s="35"/>
      <c r="F27" s="35"/>
      <c r="G27" s="39"/>
      <c r="H27" s="32"/>
      <c r="I27" s="40"/>
      <c r="J27" s="41"/>
      <c r="K27" s="15"/>
      <c r="M27" s="5"/>
      <c r="N27" s="10"/>
      <c r="O27" s="12"/>
      <c r="P27" s="12"/>
    </row>
    <row r="28" spans="1:16" ht="15" x14ac:dyDescent="0.25">
      <c r="A28" s="30"/>
      <c r="B28" s="32"/>
      <c r="C28" s="35"/>
      <c r="D28" s="35"/>
      <c r="E28" s="35"/>
      <c r="F28" s="35"/>
      <c r="G28" s="39"/>
      <c r="H28" s="32"/>
      <c r="I28" s="40"/>
      <c r="J28" s="41"/>
      <c r="K28" s="18"/>
      <c r="N28" s="10"/>
      <c r="O28" s="11"/>
      <c r="P28" s="11"/>
    </row>
    <row r="29" spans="1:16" ht="15" x14ac:dyDescent="0.25">
      <c r="A29" s="30"/>
      <c r="B29" s="32"/>
      <c r="C29" s="35"/>
      <c r="D29" s="35"/>
      <c r="E29" s="35"/>
      <c r="F29" s="35"/>
      <c r="G29" s="39"/>
      <c r="H29" s="32"/>
      <c r="I29" s="40"/>
      <c r="J29" s="41"/>
      <c r="K29" s="18"/>
    </row>
    <row r="30" spans="1:16" ht="15" x14ac:dyDescent="0.25">
      <c r="A30" s="30"/>
      <c r="B30" s="32"/>
      <c r="C30" s="35"/>
      <c r="D30" s="35"/>
      <c r="E30" s="35"/>
      <c r="F30" s="35"/>
      <c r="G30" s="39"/>
      <c r="H30" s="32"/>
      <c r="I30" s="40"/>
      <c r="J30" s="41"/>
      <c r="K30" s="18"/>
    </row>
    <row r="31" spans="1:16" ht="15" x14ac:dyDescent="0.25">
      <c r="A31" s="30"/>
      <c r="B31" s="32"/>
      <c r="C31" s="35"/>
      <c r="D31" s="35"/>
      <c r="E31" s="35"/>
      <c r="F31" s="35"/>
      <c r="G31" s="39"/>
      <c r="H31" s="32"/>
      <c r="I31" s="40"/>
      <c r="J31" s="41"/>
      <c r="K31" s="18"/>
    </row>
    <row r="32" spans="1:16" ht="14.25" customHeight="1" x14ac:dyDescent="0.25">
      <c r="A32" s="30"/>
      <c r="B32" s="32"/>
      <c r="C32" s="35"/>
      <c r="D32" s="35"/>
      <c r="E32" s="35"/>
      <c r="F32" s="35"/>
      <c r="G32" s="39"/>
      <c r="H32" s="32"/>
      <c r="I32" s="40"/>
      <c r="J32" s="41"/>
      <c r="K32" s="18"/>
      <c r="L32" s="9"/>
    </row>
    <row r="33" spans="1:12" ht="14.25" customHeight="1" x14ac:dyDescent="0.25">
      <c r="A33" s="30"/>
      <c r="B33" s="32"/>
      <c r="C33" s="35"/>
      <c r="D33" s="35"/>
      <c r="E33" s="35"/>
      <c r="F33" s="35"/>
      <c r="G33" s="39"/>
      <c r="H33" s="32"/>
      <c r="I33" s="40"/>
      <c r="J33" s="41"/>
      <c r="K33" s="18"/>
      <c r="L33" s="9"/>
    </row>
    <row r="34" spans="1:12" ht="15" x14ac:dyDescent="0.25">
      <c r="A34" s="30"/>
      <c r="B34" s="32"/>
      <c r="C34" s="35"/>
      <c r="D34" s="35"/>
      <c r="E34" s="35"/>
      <c r="F34" s="35"/>
      <c r="G34" s="39"/>
      <c r="H34" s="32"/>
      <c r="I34" s="40"/>
      <c r="J34" s="41"/>
      <c r="K34" s="15"/>
    </row>
    <row r="35" spans="1:12" ht="14.25" customHeight="1" x14ac:dyDescent="0.25">
      <c r="A35" s="30"/>
      <c r="B35" s="32"/>
      <c r="C35" s="35"/>
      <c r="D35" s="35"/>
      <c r="E35" s="35"/>
      <c r="F35" s="35"/>
      <c r="G35" s="39"/>
      <c r="H35" s="32"/>
      <c r="I35" s="40"/>
      <c r="J35" s="41"/>
      <c r="K35" s="15"/>
    </row>
    <row r="36" spans="1:12" ht="18.75" customHeight="1" x14ac:dyDescent="0.25">
      <c r="A36" s="30"/>
      <c r="B36" s="30"/>
      <c r="C36" s="30"/>
      <c r="D36" s="35"/>
      <c r="E36" s="35"/>
      <c r="F36" s="35"/>
      <c r="G36" s="35"/>
      <c r="H36" s="35"/>
      <c r="I36" s="30"/>
      <c r="J36" s="42"/>
      <c r="K36" s="15"/>
    </row>
    <row r="37" spans="1:12" ht="15" x14ac:dyDescent="0.25">
      <c r="A37" s="30"/>
      <c r="B37" s="30"/>
      <c r="C37" s="30"/>
      <c r="D37" s="35"/>
      <c r="E37" s="35"/>
      <c r="F37" s="35"/>
      <c r="G37" s="35"/>
      <c r="H37" s="35"/>
      <c r="I37" s="30"/>
      <c r="J37" s="30"/>
      <c r="K37" s="15"/>
    </row>
    <row r="38" spans="1:12" ht="15" x14ac:dyDescent="0.25">
      <c r="A38" s="30"/>
      <c r="B38" s="30"/>
      <c r="C38" s="30"/>
      <c r="D38" s="35"/>
      <c r="E38" s="35"/>
      <c r="F38" s="35"/>
      <c r="G38" s="35"/>
      <c r="H38" s="35"/>
      <c r="I38" s="30"/>
      <c r="J38" s="30"/>
      <c r="K38" s="15"/>
    </row>
    <row r="39" spans="1:12" ht="14.25" customHeight="1" x14ac:dyDescent="0.2">
      <c r="A39" s="34"/>
      <c r="B39" s="43"/>
      <c r="C39" s="43"/>
      <c r="D39" s="43"/>
      <c r="E39" s="43"/>
      <c r="F39" s="43"/>
      <c r="G39" s="44"/>
      <c r="H39" s="43"/>
      <c r="I39" s="43"/>
      <c r="J39" s="43"/>
      <c r="K39" s="16"/>
    </row>
    <row r="40" spans="1:12" ht="14.25" customHeight="1" x14ac:dyDescent="0.25">
      <c r="A40" s="45"/>
      <c r="B40" s="30"/>
      <c r="C40" s="30"/>
      <c r="D40" s="35"/>
      <c r="E40" s="35"/>
      <c r="F40" s="35"/>
      <c r="G40" s="35"/>
      <c r="H40" s="35"/>
      <c r="I40" s="30"/>
      <c r="J40" s="30"/>
      <c r="K40" s="23"/>
    </row>
    <row r="41" spans="1:12" ht="14.25" customHeight="1" x14ac:dyDescent="0.25">
      <c r="A41" s="45"/>
      <c r="B41" s="35"/>
      <c r="C41" s="35"/>
      <c r="D41" s="35"/>
      <c r="E41" s="35"/>
      <c r="F41" s="35"/>
      <c r="G41" s="35"/>
      <c r="H41" s="35"/>
      <c r="I41" s="35"/>
      <c r="J41" s="35"/>
      <c r="K41" s="23"/>
    </row>
    <row r="42" spans="1:12" ht="73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23"/>
    </row>
    <row r="43" spans="1:12" ht="14.25" customHeight="1" x14ac:dyDescent="0.2">
      <c r="A43" s="34"/>
      <c r="B43" s="43"/>
      <c r="C43" s="43"/>
      <c r="D43" s="43"/>
      <c r="E43" s="43"/>
      <c r="F43" s="43"/>
      <c r="G43" s="44"/>
      <c r="H43" s="43"/>
      <c r="I43" s="43"/>
      <c r="J43" s="43"/>
      <c r="K43" s="16"/>
    </row>
    <row r="44" spans="1:12" ht="14.25" customHeight="1" x14ac:dyDescent="0.25">
      <c r="A44" s="45"/>
      <c r="B44" s="30"/>
      <c r="C44" s="30"/>
      <c r="D44" s="35"/>
      <c r="E44" s="35"/>
      <c r="F44" s="35"/>
      <c r="G44" s="35"/>
      <c r="H44" s="35"/>
      <c r="I44" s="30"/>
      <c r="J44" s="30"/>
      <c r="K44" s="23"/>
    </row>
    <row r="45" spans="1:12" ht="15" customHeight="1" x14ac:dyDescent="0.2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13"/>
    </row>
    <row r="46" spans="1:12" ht="15" customHeight="1" x14ac:dyDescent="0.2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13"/>
    </row>
    <row r="47" spans="1:12" ht="14.25" customHeight="1" x14ac:dyDescent="0.2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13"/>
    </row>
    <row r="48" spans="1:12" ht="15" customHeight="1" x14ac:dyDescent="0.2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13"/>
    </row>
    <row r="49" spans="1:11" ht="15" x14ac:dyDescent="0.2">
      <c r="A49" s="27"/>
      <c r="B49" s="28"/>
      <c r="C49" s="28"/>
      <c r="D49" s="28"/>
      <c r="E49" s="28"/>
      <c r="F49" s="28"/>
      <c r="G49" s="28"/>
      <c r="H49" s="28"/>
      <c r="I49" s="28"/>
      <c r="J49" s="28"/>
      <c r="K49" s="14"/>
    </row>
    <row r="50" spans="1:11" ht="15" x14ac:dyDescent="0.2">
      <c r="A50" s="27"/>
      <c r="B50" s="28"/>
      <c r="C50" s="28"/>
      <c r="D50" s="28"/>
      <c r="E50" s="28"/>
      <c r="F50" s="28"/>
      <c r="G50" s="29"/>
      <c r="H50" s="28"/>
      <c r="I50" s="28"/>
      <c r="J50" s="28"/>
      <c r="K50" s="14"/>
    </row>
    <row r="51" spans="1:11" ht="15" x14ac:dyDescent="0.25">
      <c r="A51" s="30"/>
      <c r="B51" s="31"/>
      <c r="C51" s="27"/>
      <c r="D51" s="30"/>
      <c r="E51" s="30"/>
      <c r="F51" s="30"/>
      <c r="G51" s="30"/>
      <c r="H51" s="31"/>
      <c r="I51" s="47"/>
      <c r="J51" s="47"/>
      <c r="K51" s="15"/>
    </row>
    <row r="52" spans="1:11" ht="15" x14ac:dyDescent="0.25">
      <c r="A52" s="30"/>
      <c r="B52" s="33"/>
      <c r="C52" s="34"/>
      <c r="D52" s="34"/>
      <c r="E52" s="30"/>
      <c r="F52" s="30"/>
      <c r="G52" s="34"/>
      <c r="H52" s="33"/>
      <c r="I52" s="34"/>
      <c r="J52" s="34"/>
      <c r="K52" s="15"/>
    </row>
    <row r="53" spans="1:11" ht="15" x14ac:dyDescent="0.25">
      <c r="A53" s="30"/>
      <c r="B53" s="31"/>
      <c r="C53" s="35"/>
      <c r="D53" s="35"/>
      <c r="E53" s="35"/>
      <c r="F53" s="35"/>
      <c r="G53" s="35"/>
      <c r="H53" s="31"/>
      <c r="I53" s="35"/>
      <c r="J53" s="35"/>
      <c r="K53" s="15"/>
    </row>
    <row r="54" spans="1:11" ht="15" x14ac:dyDescent="0.25">
      <c r="A54" s="30"/>
      <c r="B54" s="31"/>
      <c r="C54" s="35"/>
      <c r="D54" s="35"/>
      <c r="E54" s="35"/>
      <c r="F54" s="35"/>
      <c r="G54" s="35"/>
      <c r="H54" s="31"/>
      <c r="I54" s="35"/>
      <c r="J54" s="35"/>
      <c r="K54" s="15"/>
    </row>
    <row r="55" spans="1:11" ht="15" x14ac:dyDescent="0.25">
      <c r="A55" s="30"/>
      <c r="B55" s="31"/>
      <c r="C55" s="35"/>
      <c r="D55" s="35"/>
      <c r="E55" s="35"/>
      <c r="F55" s="35"/>
      <c r="G55" s="35"/>
      <c r="H55" s="31"/>
      <c r="I55" s="35"/>
      <c r="J55" s="35"/>
      <c r="K55" s="15"/>
    </row>
    <row r="56" spans="1:11" ht="15" x14ac:dyDescent="0.25">
      <c r="A56" s="30"/>
      <c r="B56" s="31"/>
      <c r="C56" s="35"/>
      <c r="D56" s="35"/>
      <c r="E56" s="34"/>
      <c r="F56" s="35"/>
      <c r="G56" s="34"/>
      <c r="H56" s="31"/>
      <c r="I56" s="35"/>
      <c r="J56" s="35"/>
      <c r="K56" s="15"/>
    </row>
    <row r="57" spans="1:11" ht="15" x14ac:dyDescent="0.25">
      <c r="A57" s="30"/>
      <c r="B57" s="34"/>
      <c r="C57" s="34"/>
      <c r="D57" s="34"/>
      <c r="E57" s="34"/>
      <c r="F57" s="34"/>
      <c r="G57" s="34"/>
      <c r="H57" s="31"/>
      <c r="I57" s="37"/>
      <c r="J57" s="37"/>
      <c r="K57" s="15"/>
    </row>
    <row r="58" spans="1:11" ht="15" x14ac:dyDescent="0.25">
      <c r="A58" s="30"/>
      <c r="B58" s="31"/>
      <c r="C58" s="27"/>
      <c r="D58" s="34"/>
      <c r="E58" s="34"/>
      <c r="F58" s="34"/>
      <c r="G58" s="34"/>
      <c r="H58" s="31"/>
      <c r="I58" s="37"/>
      <c r="J58" s="37"/>
      <c r="K58" s="15"/>
    </row>
    <row r="59" spans="1:11" ht="15" x14ac:dyDescent="0.25">
      <c r="A59" s="30"/>
      <c r="B59" s="31"/>
      <c r="C59" s="35"/>
      <c r="D59" s="35"/>
      <c r="E59" s="35"/>
      <c r="F59" s="35"/>
      <c r="G59" s="35"/>
      <c r="H59" s="31"/>
      <c r="I59" s="35"/>
      <c r="J59" s="35"/>
      <c r="K59" s="15"/>
    </row>
    <row r="60" spans="1:11" ht="15" x14ac:dyDescent="0.25">
      <c r="A60" s="30"/>
      <c r="B60" s="31"/>
      <c r="C60" s="31"/>
      <c r="D60" s="31"/>
      <c r="E60" s="31"/>
      <c r="F60" s="31"/>
      <c r="G60" s="31"/>
      <c r="H60" s="31"/>
      <c r="I60" s="37"/>
      <c r="J60" s="37"/>
      <c r="K60" s="15"/>
    </row>
    <row r="61" spans="1:11" ht="15" x14ac:dyDescent="0.25">
      <c r="A61" s="30"/>
      <c r="B61" s="31"/>
      <c r="C61" s="31"/>
      <c r="D61" s="35"/>
      <c r="E61" s="35"/>
      <c r="F61" s="35"/>
      <c r="G61" s="35"/>
      <c r="H61" s="35"/>
      <c r="I61" s="35"/>
      <c r="J61" s="35"/>
      <c r="K61" s="15"/>
    </row>
    <row r="62" spans="1:11" ht="15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15"/>
    </row>
    <row r="63" spans="1:11" x14ac:dyDescent="0.2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16"/>
    </row>
    <row r="64" spans="1:11" ht="15" x14ac:dyDescent="0.25">
      <c r="A64" s="30"/>
      <c r="B64" s="27"/>
      <c r="C64" s="28"/>
      <c r="D64" s="28"/>
      <c r="E64" s="28"/>
      <c r="F64" s="28"/>
      <c r="G64" s="27"/>
      <c r="H64" s="27"/>
      <c r="I64" s="27"/>
      <c r="J64" s="27"/>
      <c r="K64" s="15"/>
    </row>
    <row r="65" spans="1:11" ht="15" x14ac:dyDescent="0.25">
      <c r="A65" s="30"/>
      <c r="B65" s="27"/>
      <c r="C65" s="35"/>
      <c r="D65" s="35"/>
      <c r="E65" s="35"/>
      <c r="F65" s="35"/>
      <c r="G65" s="37"/>
      <c r="H65" s="27"/>
      <c r="I65" s="48"/>
      <c r="J65" s="41"/>
      <c r="K65" s="15"/>
    </row>
    <row r="66" spans="1:11" ht="15" x14ac:dyDescent="0.25">
      <c r="A66" s="15"/>
      <c r="B66" s="14"/>
      <c r="C66" s="17"/>
      <c r="D66" s="17"/>
      <c r="E66" s="17"/>
      <c r="F66" s="17"/>
      <c r="G66" s="18"/>
      <c r="H66" s="14"/>
      <c r="I66" s="24"/>
      <c r="J66" s="19"/>
      <c r="K66" s="15"/>
    </row>
    <row r="67" spans="1:11" ht="15" x14ac:dyDescent="0.25">
      <c r="A67" s="15"/>
      <c r="B67" s="14"/>
      <c r="C67" s="17"/>
      <c r="D67" s="17"/>
      <c r="E67" s="17"/>
      <c r="F67" s="17"/>
      <c r="G67" s="18"/>
      <c r="H67" s="14"/>
      <c r="I67" s="24"/>
      <c r="J67" s="19"/>
      <c r="K67" s="15"/>
    </row>
    <row r="68" spans="1:11" ht="15" x14ac:dyDescent="0.25">
      <c r="A68" s="15"/>
      <c r="B68" s="14"/>
      <c r="C68" s="17"/>
      <c r="D68" s="17"/>
      <c r="E68" s="17"/>
      <c r="F68" s="17"/>
      <c r="G68" s="18"/>
      <c r="H68" s="14"/>
      <c r="I68" s="24"/>
      <c r="J68" s="19"/>
      <c r="K68" s="15"/>
    </row>
    <row r="69" spans="1:11" ht="15" x14ac:dyDescent="0.25">
      <c r="A69" s="15"/>
      <c r="B69" s="14"/>
      <c r="C69" s="17"/>
      <c r="D69" s="17"/>
      <c r="E69" s="17"/>
      <c r="F69" s="17"/>
      <c r="G69" s="18"/>
      <c r="H69" s="14"/>
      <c r="I69" s="24"/>
      <c r="J69" s="19"/>
      <c r="K69" s="15"/>
    </row>
    <row r="70" spans="1:11" ht="15" x14ac:dyDescent="0.25">
      <c r="A70" s="15"/>
      <c r="B70" s="14"/>
      <c r="C70" s="17"/>
      <c r="D70" s="17"/>
      <c r="E70" s="17"/>
      <c r="F70" s="17"/>
      <c r="G70" s="18"/>
      <c r="H70" s="14"/>
      <c r="I70" s="24"/>
      <c r="J70" s="19"/>
      <c r="K70" s="15"/>
    </row>
    <row r="71" spans="1:11" ht="15" x14ac:dyDescent="0.25">
      <c r="A71" s="15"/>
      <c r="B71" s="14"/>
      <c r="C71" s="17"/>
      <c r="D71" s="17"/>
      <c r="E71" s="17"/>
      <c r="F71" s="17"/>
      <c r="G71" s="18"/>
      <c r="H71" s="14"/>
      <c r="I71" s="24"/>
      <c r="J71" s="19"/>
      <c r="K71" s="15"/>
    </row>
    <row r="72" spans="1:11" ht="15" x14ac:dyDescent="0.25">
      <c r="A72" s="15"/>
      <c r="B72" s="14"/>
      <c r="C72" s="17"/>
      <c r="D72" s="17"/>
      <c r="E72" s="17"/>
      <c r="F72" s="17"/>
      <c r="G72" s="18"/>
      <c r="H72" s="14"/>
      <c r="I72" s="24"/>
      <c r="J72" s="19"/>
      <c r="K72" s="18"/>
    </row>
    <row r="73" spans="1:11" ht="15" x14ac:dyDescent="0.25">
      <c r="A73" s="15"/>
      <c r="B73" s="14"/>
      <c r="C73" s="17"/>
      <c r="D73" s="17"/>
      <c r="E73" s="17"/>
      <c r="F73" s="17"/>
      <c r="G73" s="18"/>
      <c r="H73" s="14"/>
      <c r="I73" s="24"/>
      <c r="J73" s="19"/>
      <c r="K73" s="18"/>
    </row>
    <row r="74" spans="1:11" ht="15" x14ac:dyDescent="0.25">
      <c r="A74" s="15"/>
      <c r="B74" s="14"/>
      <c r="C74" s="17"/>
      <c r="D74" s="17"/>
      <c r="E74" s="17"/>
      <c r="F74" s="17"/>
      <c r="G74" s="18"/>
      <c r="H74" s="14"/>
      <c r="I74" s="24"/>
      <c r="J74" s="19"/>
      <c r="K74" s="18"/>
    </row>
    <row r="75" spans="1:11" ht="15" x14ac:dyDescent="0.25">
      <c r="A75" s="15"/>
      <c r="B75" s="14"/>
      <c r="C75" s="17"/>
      <c r="D75" s="17"/>
      <c r="E75" s="17"/>
      <c r="F75" s="17"/>
      <c r="G75" s="18"/>
      <c r="H75" s="14"/>
      <c r="I75" s="24"/>
      <c r="J75" s="19"/>
      <c r="K75" s="18"/>
    </row>
    <row r="76" spans="1:11" ht="15" x14ac:dyDescent="0.25">
      <c r="A76" s="15"/>
      <c r="B76" s="14"/>
      <c r="C76" s="17"/>
      <c r="D76" s="17"/>
      <c r="E76" s="17"/>
      <c r="F76" s="17"/>
      <c r="G76" s="18"/>
      <c r="H76" s="14"/>
      <c r="I76" s="24"/>
      <c r="J76" s="19"/>
      <c r="K76" s="18"/>
    </row>
    <row r="77" spans="1:11" ht="15" x14ac:dyDescent="0.25">
      <c r="A77" s="15"/>
      <c r="B77" s="14"/>
      <c r="C77" s="17"/>
      <c r="D77" s="17"/>
      <c r="E77" s="17"/>
      <c r="F77" s="17"/>
      <c r="G77" s="18"/>
      <c r="H77" s="14"/>
      <c r="I77" s="24"/>
      <c r="J77" s="19"/>
      <c r="K77" s="18"/>
    </row>
    <row r="78" spans="1:11" ht="15" x14ac:dyDescent="0.25">
      <c r="A78" s="15"/>
      <c r="B78" s="14"/>
      <c r="C78" s="17"/>
      <c r="D78" s="17"/>
      <c r="E78" s="17"/>
      <c r="F78" s="17"/>
      <c r="G78" s="18"/>
      <c r="H78" s="14"/>
      <c r="I78" s="24"/>
      <c r="J78" s="19"/>
      <c r="K78" s="15"/>
    </row>
    <row r="79" spans="1:11" ht="15" x14ac:dyDescent="0.25">
      <c r="A79" s="15"/>
      <c r="B79" s="14"/>
      <c r="C79" s="17"/>
      <c r="D79" s="17"/>
      <c r="E79" s="17"/>
      <c r="F79" s="17"/>
      <c r="G79" s="18"/>
      <c r="H79" s="14"/>
      <c r="I79" s="24"/>
      <c r="J79" s="19"/>
      <c r="K79" s="15"/>
    </row>
    <row r="80" spans="1:11" ht="18" x14ac:dyDescent="0.25">
      <c r="A80" s="15"/>
      <c r="B80" s="15"/>
      <c r="C80" s="15"/>
      <c r="D80" s="17"/>
      <c r="E80" s="17"/>
      <c r="F80" s="17"/>
      <c r="G80" s="17"/>
      <c r="H80" s="17"/>
      <c r="I80" s="15"/>
      <c r="J80" s="20"/>
      <c r="K80" s="15"/>
    </row>
    <row r="81" spans="1:11" ht="15" x14ac:dyDescent="0.25">
      <c r="A81" s="15"/>
      <c r="B81" s="15"/>
      <c r="C81" s="15"/>
      <c r="D81" s="17"/>
      <c r="E81" s="17"/>
      <c r="F81" s="17"/>
      <c r="G81" s="17"/>
      <c r="H81" s="17"/>
      <c r="I81" s="15"/>
      <c r="J81" s="15"/>
      <c r="K81" s="15"/>
    </row>
    <row r="82" spans="1:11" ht="15" x14ac:dyDescent="0.25">
      <c r="A82" s="15"/>
      <c r="B82" s="15"/>
      <c r="C82" s="15"/>
      <c r="D82" s="17"/>
      <c r="E82" s="17"/>
      <c r="F82" s="17"/>
      <c r="G82" s="17"/>
      <c r="H82" s="17"/>
      <c r="I82" s="15"/>
      <c r="J82" s="15"/>
      <c r="K82" s="15"/>
    </row>
    <row r="83" spans="1:11" x14ac:dyDescent="0.2">
      <c r="A83" s="16"/>
      <c r="B83" s="21"/>
      <c r="C83" s="21"/>
      <c r="D83" s="21"/>
      <c r="E83" s="21"/>
      <c r="F83" s="21"/>
      <c r="G83" s="22"/>
      <c r="H83" s="21"/>
      <c r="I83" s="21"/>
      <c r="J83" s="21"/>
      <c r="K83" s="16"/>
    </row>
    <row r="84" spans="1:11" ht="18" x14ac:dyDescent="0.25">
      <c r="A84" s="23"/>
      <c r="B84" s="15"/>
      <c r="C84" s="15"/>
      <c r="D84" s="17"/>
      <c r="E84" s="17"/>
      <c r="F84" s="17"/>
      <c r="G84" s="17"/>
      <c r="H84" s="17"/>
      <c r="I84" s="15"/>
      <c r="J84" s="15"/>
      <c r="K84" s="23"/>
    </row>
    <row r="85" spans="1:11" ht="18" x14ac:dyDescent="0.25">
      <c r="A85" s="23"/>
      <c r="B85" s="17"/>
      <c r="C85" s="17"/>
      <c r="D85" s="17"/>
      <c r="E85" s="17"/>
      <c r="F85" s="17"/>
      <c r="G85" s="17"/>
      <c r="H85" s="17"/>
      <c r="I85" s="17"/>
      <c r="J85" s="17"/>
      <c r="K85" s="23"/>
    </row>
    <row r="86" spans="1:11" ht="18" x14ac:dyDescent="0.25">
      <c r="A86" s="23"/>
      <c r="B86" s="15"/>
      <c r="C86" s="15"/>
      <c r="D86" s="17"/>
      <c r="E86" s="17"/>
      <c r="F86" s="17"/>
      <c r="G86" s="17"/>
      <c r="H86" s="17"/>
      <c r="I86" s="15"/>
      <c r="J86" s="15"/>
      <c r="K86" s="23"/>
    </row>
    <row r="87" spans="1:1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</row>
    <row r="88" spans="1:1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</row>
    <row r="89" spans="1:1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</row>
    <row r="90" spans="1:1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</row>
    <row r="91" spans="1:1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</row>
    <row r="92" spans="1:1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</row>
    <row r="93" spans="1:1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</row>
    <row r="94" spans="1:1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</row>
    <row r="95" spans="1:1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</row>
    <row r="96" spans="1:1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</row>
    <row r="97" spans="1:1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</row>
    <row r="98" spans="1:1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</row>
    <row r="99" spans="1:1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</row>
    <row r="100" spans="1:1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</row>
    <row r="101" spans="1:1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</row>
    <row r="102" spans="1:1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</row>
    <row r="103" spans="1:1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</row>
    <row r="104" spans="1:1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</row>
    <row r="105" spans="1:1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</row>
    <row r="106" spans="1:1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</row>
    <row r="107" spans="1:1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</row>
    <row r="108" spans="1:1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</row>
    <row r="109" spans="1:1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</row>
    <row r="110" spans="1:1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</row>
    <row r="111" spans="1:1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</row>
    <row r="112" spans="1:1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</row>
    <row r="113" spans="1:1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</row>
    <row r="114" spans="1:1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</row>
    <row r="115" spans="1:1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</row>
    <row r="116" spans="1:1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</row>
    <row r="117" spans="1:1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</row>
    <row r="118" spans="1:1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</row>
    <row r="119" spans="1:1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</row>
    <row r="120" spans="1:1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</row>
    <row r="121" spans="1:1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</row>
    <row r="122" spans="1:1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</row>
    <row r="123" spans="1:1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</row>
    <row r="124" spans="1:1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</row>
    <row r="125" spans="1:1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</row>
    <row r="126" spans="1:1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</row>
    <row r="127" spans="1:1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</row>
    <row r="128" spans="1:1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</row>
    <row r="129" spans="1:1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</row>
    <row r="130" spans="1:1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</row>
    <row r="131" spans="1:1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</row>
    <row r="132" spans="1:1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</row>
    <row r="133" spans="1:1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</row>
    <row r="134" spans="1:1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</row>
    <row r="135" spans="1:1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</row>
    <row r="136" spans="1:1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</row>
    <row r="137" spans="1:1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</row>
    <row r="138" spans="1:1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</row>
    <row r="139" spans="1:1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</row>
    <row r="140" spans="1:1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</row>
    <row r="141" spans="1:1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</row>
    <row r="142" spans="1:1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</row>
    <row r="143" spans="1:1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</row>
    <row r="144" spans="1:1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</row>
    <row r="145" spans="1:1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</row>
    <row r="146" spans="1:1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</row>
    <row r="147" spans="1:1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</row>
    <row r="148" spans="1:1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</row>
    <row r="149" spans="1:1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</row>
    <row r="150" spans="1:1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</row>
    <row r="151" spans="1:1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</row>
    <row r="152" spans="1:1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</row>
    <row r="153" spans="1:1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</row>
    <row r="154" spans="1:1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</row>
    <row r="155" spans="1:1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</row>
    <row r="156" spans="1:1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</row>
    <row r="157" spans="1:1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</row>
    <row r="158" spans="1:1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</row>
    <row r="159" spans="1:1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</row>
    <row r="160" spans="1:1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</row>
    <row r="161" spans="1:1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</row>
    <row r="162" spans="1:1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</row>
    <row r="163" spans="1:1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</row>
    <row r="164" spans="1:1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</row>
    <row r="165" spans="1:1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</row>
    <row r="166" spans="1:1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</row>
    <row r="167" spans="1:1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</row>
    <row r="168" spans="1:1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</row>
    <row r="169" spans="1:1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</row>
    <row r="170" spans="1:1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</row>
    <row r="171" spans="1:1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</row>
    <row r="172" spans="1:1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</row>
    <row r="173" spans="1:1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</row>
    <row r="174" spans="1:1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</row>
    <row r="175" spans="1:11" x14ac:dyDescent="0.2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</row>
    <row r="176" spans="1:11" x14ac:dyDescent="0.2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</row>
  </sheetData>
  <mergeCells count="2">
    <mergeCell ref="B1:J3"/>
    <mergeCell ref="G5:H5"/>
  </mergeCells>
  <pageMargins left="1.01" right="0.51181102362204722" top="0.24" bottom="0.17" header="0.31496062992125984" footer="0.31496062992125984"/>
  <pageSetup paperSize="9" scale="5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6"/>
  <sheetViews>
    <sheetView workbookViewId="0">
      <selection activeCell="F3" sqref="F3"/>
    </sheetView>
  </sheetViews>
  <sheetFormatPr defaultRowHeight="14.25" x14ac:dyDescent="0.2"/>
  <cols>
    <col min="3" max="3" width="11.875" bestFit="1" customWidth="1"/>
    <col min="4" max="4" width="11.875" customWidth="1"/>
    <col min="10" max="10" width="11.875" bestFit="1" customWidth="1"/>
  </cols>
  <sheetData>
    <row r="1" spans="1:10" x14ac:dyDescent="0.2">
      <c r="A1" t="s">
        <v>7</v>
      </c>
      <c r="B1" t="s">
        <v>8</v>
      </c>
      <c r="C1" t="s">
        <v>9</v>
      </c>
      <c r="D1" t="s">
        <v>78</v>
      </c>
      <c r="E1" t="s">
        <v>10</v>
      </c>
      <c r="F1" t="s">
        <v>63</v>
      </c>
      <c r="G1" t="s">
        <v>15</v>
      </c>
      <c r="H1" t="s">
        <v>67</v>
      </c>
      <c r="I1" t="s">
        <v>64</v>
      </c>
      <c r="J1" t="s">
        <v>11</v>
      </c>
    </row>
    <row r="2" spans="1:10" x14ac:dyDescent="0.2">
      <c r="A2">
        <v>0</v>
      </c>
    </row>
    <row r="3" spans="1:10" x14ac:dyDescent="0.2">
      <c r="A3">
        <v>1</v>
      </c>
      <c r="B3" t="s">
        <v>12</v>
      </c>
      <c r="C3" t="s">
        <v>14</v>
      </c>
      <c r="E3" t="s">
        <v>17</v>
      </c>
      <c r="F3" t="s">
        <v>66</v>
      </c>
      <c r="G3" t="s">
        <v>16</v>
      </c>
      <c r="H3" t="s">
        <v>68</v>
      </c>
      <c r="I3" t="s">
        <v>65</v>
      </c>
      <c r="J3" t="s">
        <v>13</v>
      </c>
    </row>
    <row r="4" spans="1:10" x14ac:dyDescent="0.2">
      <c r="A4">
        <v>2</v>
      </c>
      <c r="B4" t="s">
        <v>73</v>
      </c>
      <c r="C4" t="s">
        <v>79</v>
      </c>
      <c r="D4" t="s">
        <v>72</v>
      </c>
      <c r="E4" t="s">
        <v>74</v>
      </c>
      <c r="F4" t="s">
        <v>75</v>
      </c>
      <c r="G4" t="s">
        <v>76</v>
      </c>
      <c r="H4" t="s">
        <v>68</v>
      </c>
      <c r="I4" t="s">
        <v>65</v>
      </c>
      <c r="J4" t="s">
        <v>77</v>
      </c>
    </row>
    <row r="5" spans="1:10" x14ac:dyDescent="0.2">
      <c r="A5">
        <v>3</v>
      </c>
      <c r="B5" t="s">
        <v>100</v>
      </c>
      <c r="C5" t="s">
        <v>101</v>
      </c>
      <c r="D5" t="s">
        <v>102</v>
      </c>
      <c r="E5" t="s">
        <v>103</v>
      </c>
      <c r="F5" t="s">
        <v>104</v>
      </c>
      <c r="G5" t="s">
        <v>105</v>
      </c>
      <c r="H5" t="s">
        <v>68</v>
      </c>
      <c r="I5" t="s">
        <v>65</v>
      </c>
      <c r="J5" t="s">
        <v>107</v>
      </c>
    </row>
    <row r="6" spans="1:10" x14ac:dyDescent="0.2">
      <c r="A6">
        <v>4</v>
      </c>
      <c r="B6" t="s">
        <v>106</v>
      </c>
      <c r="J6" t="s">
        <v>108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B15"/>
  <sheetViews>
    <sheetView workbookViewId="0">
      <selection activeCell="B14" sqref="B14"/>
    </sheetView>
  </sheetViews>
  <sheetFormatPr defaultRowHeight="14.25" x14ac:dyDescent="0.2"/>
  <cols>
    <col min="2" max="2" width="24" bestFit="1" customWidth="1"/>
  </cols>
  <sheetData>
    <row r="1" spans="1:2" x14ac:dyDescent="0.2">
      <c r="A1" t="s">
        <v>7</v>
      </c>
      <c r="B1" t="s">
        <v>8</v>
      </c>
    </row>
    <row r="2" spans="1:2" x14ac:dyDescent="0.2">
      <c r="A2">
        <v>1</v>
      </c>
      <c r="B2" t="s">
        <v>18</v>
      </c>
    </row>
    <row r="3" spans="1:2" x14ac:dyDescent="0.2">
      <c r="A3">
        <v>2</v>
      </c>
      <c r="B3" t="s">
        <v>19</v>
      </c>
    </row>
    <row r="4" spans="1:2" x14ac:dyDescent="0.2">
      <c r="A4">
        <v>3</v>
      </c>
      <c r="B4" t="s">
        <v>20</v>
      </c>
    </row>
    <row r="5" spans="1:2" x14ac:dyDescent="0.2">
      <c r="A5">
        <v>4</v>
      </c>
      <c r="B5" t="s">
        <v>31</v>
      </c>
    </row>
    <row r="6" spans="1:2" x14ac:dyDescent="0.2">
      <c r="A6">
        <v>5</v>
      </c>
      <c r="B6" t="s">
        <v>21</v>
      </c>
    </row>
    <row r="7" spans="1:2" x14ac:dyDescent="0.2">
      <c r="A7">
        <v>6</v>
      </c>
      <c r="B7" t="s">
        <v>22</v>
      </c>
    </row>
    <row r="8" spans="1:2" x14ac:dyDescent="0.2">
      <c r="A8">
        <v>7</v>
      </c>
      <c r="B8" t="s">
        <v>23</v>
      </c>
    </row>
    <row r="9" spans="1:2" x14ac:dyDescent="0.2">
      <c r="A9">
        <v>8</v>
      </c>
      <c r="B9" t="s">
        <v>24</v>
      </c>
    </row>
    <row r="10" spans="1:2" x14ac:dyDescent="0.2">
      <c r="A10">
        <v>9</v>
      </c>
      <c r="B10" t="s">
        <v>25</v>
      </c>
    </row>
    <row r="11" spans="1:2" x14ac:dyDescent="0.2">
      <c r="A11">
        <v>10</v>
      </c>
      <c r="B11" t="s">
        <v>26</v>
      </c>
    </row>
    <row r="12" spans="1:2" x14ac:dyDescent="0.2">
      <c r="A12">
        <v>11</v>
      </c>
      <c r="B12" t="s">
        <v>27</v>
      </c>
    </row>
    <row r="13" spans="1:2" x14ac:dyDescent="0.2">
      <c r="A13">
        <v>12</v>
      </c>
      <c r="B13" t="s">
        <v>28</v>
      </c>
    </row>
    <row r="14" spans="1:2" x14ac:dyDescent="0.2">
      <c r="A14">
        <v>13</v>
      </c>
      <c r="B14" t="s">
        <v>29</v>
      </c>
    </row>
    <row r="15" spans="1:2" x14ac:dyDescent="0.2">
      <c r="A15">
        <v>14</v>
      </c>
      <c r="B15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CW2"/>
  <sheetViews>
    <sheetView workbookViewId="0">
      <selection activeCell="E2" sqref="E2"/>
    </sheetView>
  </sheetViews>
  <sheetFormatPr defaultRowHeight="14.25" x14ac:dyDescent="0.2"/>
  <cols>
    <col min="2" max="2" width="9.875" bestFit="1" customWidth="1"/>
  </cols>
  <sheetData>
    <row r="1" spans="1:101" x14ac:dyDescent="0.2">
      <c r="A1" t="s">
        <v>5</v>
      </c>
      <c r="B1" t="s">
        <v>2</v>
      </c>
      <c r="C1" t="s">
        <v>6</v>
      </c>
      <c r="D1" t="s">
        <v>38</v>
      </c>
      <c r="E1" t="s">
        <v>159</v>
      </c>
      <c r="F1" t="s">
        <v>9</v>
      </c>
      <c r="G1" t="s">
        <v>78</v>
      </c>
      <c r="H1" t="s">
        <v>11</v>
      </c>
      <c r="I1" t="s">
        <v>80</v>
      </c>
      <c r="J1" t="s">
        <v>81</v>
      </c>
      <c r="K1" t="s">
        <v>157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  <c r="T1" t="s">
        <v>47</v>
      </c>
      <c r="U1" t="s">
        <v>48</v>
      </c>
      <c r="V1" t="s">
        <v>49</v>
      </c>
      <c r="W1" t="s">
        <v>50</v>
      </c>
      <c r="X1" t="s">
        <v>51</v>
      </c>
      <c r="Y1" t="s">
        <v>52</v>
      </c>
      <c r="Z1" t="s">
        <v>53</v>
      </c>
      <c r="AA1" t="s">
        <v>54</v>
      </c>
      <c r="AB1" t="s">
        <v>55</v>
      </c>
      <c r="AC1" t="s">
        <v>56</v>
      </c>
      <c r="AD1" t="s">
        <v>57</v>
      </c>
      <c r="AE1" t="s">
        <v>58</v>
      </c>
      <c r="AF1" t="s">
        <v>59</v>
      </c>
      <c r="AG1" t="s">
        <v>60</v>
      </c>
      <c r="AH1" t="s">
        <v>61</v>
      </c>
      <c r="AI1" t="s">
        <v>62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109</v>
      </c>
      <c r="BC1" t="s">
        <v>110</v>
      </c>
      <c r="BD1" t="s">
        <v>111</v>
      </c>
      <c r="BE1" t="s">
        <v>112</v>
      </c>
      <c r="BF1" t="s">
        <v>113</v>
      </c>
      <c r="BG1" t="s">
        <v>114</v>
      </c>
      <c r="BH1" t="s">
        <v>115</v>
      </c>
      <c r="BI1" t="s">
        <v>116</v>
      </c>
      <c r="BJ1" t="s">
        <v>117</v>
      </c>
      <c r="BK1" t="s">
        <v>118</v>
      </c>
      <c r="BL1" t="s">
        <v>119</v>
      </c>
      <c r="BM1" t="s">
        <v>120</v>
      </c>
      <c r="BN1" t="s">
        <v>121</v>
      </c>
      <c r="BO1" t="s">
        <v>122</v>
      </c>
      <c r="BP1" t="s">
        <v>123</v>
      </c>
      <c r="BQ1" t="s">
        <v>124</v>
      </c>
      <c r="BR1" t="s">
        <v>125</v>
      </c>
      <c r="BS1" t="s">
        <v>126</v>
      </c>
      <c r="BT1" t="s">
        <v>127</v>
      </c>
      <c r="BU1" t="s">
        <v>128</v>
      </c>
      <c r="BV1" t="s">
        <v>129</v>
      </c>
      <c r="BW1" t="s">
        <v>130</v>
      </c>
      <c r="BX1" t="s">
        <v>131</v>
      </c>
      <c r="BY1" t="s">
        <v>132</v>
      </c>
      <c r="BZ1" t="s">
        <v>133</v>
      </c>
      <c r="CA1" t="s">
        <v>134</v>
      </c>
      <c r="CB1" t="s">
        <v>135</v>
      </c>
      <c r="CC1" t="s">
        <v>136</v>
      </c>
      <c r="CD1" t="s">
        <v>137</v>
      </c>
      <c r="CE1" t="s">
        <v>138</v>
      </c>
      <c r="CF1" t="s">
        <v>139</v>
      </c>
      <c r="CG1" t="s">
        <v>140</v>
      </c>
      <c r="CH1" t="s">
        <v>141</v>
      </c>
      <c r="CI1" t="s">
        <v>142</v>
      </c>
      <c r="CJ1" t="s">
        <v>143</v>
      </c>
      <c r="CK1" t="s">
        <v>144</v>
      </c>
      <c r="CL1" t="s">
        <v>145</v>
      </c>
      <c r="CM1" t="s">
        <v>146</v>
      </c>
      <c r="CN1" t="s">
        <v>147</v>
      </c>
      <c r="CO1" t="s">
        <v>148</v>
      </c>
      <c r="CP1" t="s">
        <v>149</v>
      </c>
      <c r="CQ1" t="s">
        <v>150</v>
      </c>
      <c r="CR1" t="s">
        <v>151</v>
      </c>
      <c r="CS1" t="s">
        <v>152</v>
      </c>
      <c r="CT1" t="s">
        <v>153</v>
      </c>
      <c r="CU1" t="s">
        <v>154</v>
      </c>
      <c r="CV1" t="s">
        <v>155</v>
      </c>
      <c r="CW1" t="s">
        <v>156</v>
      </c>
    </row>
    <row r="2" spans="1:101" x14ac:dyDescent="0.2">
      <c r="A2">
        <v>1</v>
      </c>
      <c r="B2" s="2">
        <v>45590</v>
      </c>
      <c r="C2" t="s">
        <v>73</v>
      </c>
      <c r="D2" t="s">
        <v>74</v>
      </c>
      <c r="F2" t="s">
        <v>79</v>
      </c>
      <c r="H2" t="s">
        <v>77</v>
      </c>
      <c r="I2" t="s">
        <v>12</v>
      </c>
      <c r="J2" t="s">
        <v>13</v>
      </c>
      <c r="L2">
        <v>5</v>
      </c>
      <c r="M2" t="s">
        <v>21</v>
      </c>
      <c r="N2" t="s">
        <v>32</v>
      </c>
      <c r="O2">
        <v>1</v>
      </c>
      <c r="P2" s="1">
        <v>195</v>
      </c>
      <c r="Q2" s="1">
        <v>195</v>
      </c>
      <c r="R2">
        <v>6</v>
      </c>
      <c r="S2" t="s">
        <v>22</v>
      </c>
      <c r="T2" t="s">
        <v>33</v>
      </c>
      <c r="U2">
        <v>1</v>
      </c>
      <c r="V2" s="1">
        <v>195</v>
      </c>
      <c r="W2" s="1">
        <v>195</v>
      </c>
      <c r="X2">
        <v>6</v>
      </c>
      <c r="Y2" t="s">
        <v>22</v>
      </c>
      <c r="Z2" t="s">
        <v>34</v>
      </c>
      <c r="AA2">
        <v>1</v>
      </c>
      <c r="AB2" s="1">
        <v>195</v>
      </c>
      <c r="AC2" s="1">
        <v>195</v>
      </c>
      <c r="AD2">
        <v>6</v>
      </c>
      <c r="AE2" t="s">
        <v>22</v>
      </c>
      <c r="AF2" t="s">
        <v>35</v>
      </c>
      <c r="AG2">
        <v>1</v>
      </c>
      <c r="AH2" s="1">
        <v>195</v>
      </c>
      <c r="AI2" s="1">
        <v>195</v>
      </c>
      <c r="AJ2">
        <v>7</v>
      </c>
      <c r="AK2" t="s">
        <v>23</v>
      </c>
      <c r="AL2" t="s">
        <v>32</v>
      </c>
      <c r="AM2">
        <v>1</v>
      </c>
      <c r="AN2" s="1">
        <v>315</v>
      </c>
      <c r="AO2" s="1">
        <v>315</v>
      </c>
      <c r="AP2">
        <v>7</v>
      </c>
      <c r="AQ2" t="s">
        <v>23</v>
      </c>
      <c r="AR2" t="s">
        <v>33</v>
      </c>
      <c r="AS2">
        <v>1</v>
      </c>
      <c r="AT2" s="1">
        <v>315</v>
      </c>
      <c r="AU2" s="1">
        <v>315</v>
      </c>
      <c r="AV2">
        <v>12</v>
      </c>
      <c r="AW2" t="s">
        <v>28</v>
      </c>
      <c r="AX2" t="s">
        <v>36</v>
      </c>
      <c r="AY2">
        <v>2</v>
      </c>
      <c r="AZ2" s="1">
        <v>89.9</v>
      </c>
      <c r="BA2" s="1">
        <v>179.8</v>
      </c>
      <c r="BB2">
        <v>1</v>
      </c>
      <c r="BC2" t="s">
        <v>18</v>
      </c>
      <c r="BD2" t="s">
        <v>36</v>
      </c>
      <c r="BE2">
        <v>2</v>
      </c>
      <c r="BF2" s="1">
        <v>35</v>
      </c>
      <c r="BG2" s="1">
        <v>70</v>
      </c>
      <c r="BH2">
        <v>10</v>
      </c>
      <c r="BI2" t="s">
        <v>26</v>
      </c>
      <c r="BJ2" t="s">
        <v>37</v>
      </c>
      <c r="BK2">
        <v>1</v>
      </c>
      <c r="BL2" s="1">
        <v>210</v>
      </c>
      <c r="BM2" s="1">
        <v>210</v>
      </c>
      <c r="BN2">
        <v>11</v>
      </c>
      <c r="BO2" t="s">
        <v>27</v>
      </c>
      <c r="BP2" t="s">
        <v>37</v>
      </c>
      <c r="BQ2">
        <v>1</v>
      </c>
      <c r="BR2" s="1">
        <v>320</v>
      </c>
      <c r="BS2" s="1">
        <v>320</v>
      </c>
    </row>
  </sheetData>
  <sheetProtection algorithmName="SHA-512" hashValue="KwY4CMqjC6j+HCYgSWJXNgtPgB/zuFbThdSnaN1qXbX+2yC9AhAQgHd+mzy2Xofr+TmlIlw8m1/zhAWkXVqU/Q==" saltValue="xYDVHc5qA1awTRAlzt3zgA==" spinCount="100000" sheet="1" objects="1" scenarios="1" autoFilter="0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LANÇAMENTOS</vt:lpstr>
      <vt:lpstr>BD_CLIENTE</vt:lpstr>
      <vt:lpstr>BD_PROD</vt:lpstr>
      <vt:lpstr>BD</vt:lpstr>
      <vt:lpstr>LANÇAMENTOS!Area_de_impressao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JHH OFF</dc:creator>
  <cp:lastModifiedBy>TERMINAL 1</cp:lastModifiedBy>
  <cp:lastPrinted>2024-11-25T11:32:56Z</cp:lastPrinted>
  <dcterms:created xsi:type="dcterms:W3CDTF">2024-04-12T19:10:29Z</dcterms:created>
  <dcterms:modified xsi:type="dcterms:W3CDTF">2024-12-17T14:24:03Z</dcterms:modified>
</cp:coreProperties>
</file>