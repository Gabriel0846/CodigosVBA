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G:\Meu Drive\GABRIEL\CodigosVBA\ADEMIR\"/>
    </mc:Choice>
  </mc:AlternateContent>
  <xr:revisionPtr revIDLastSave="0" documentId="13_ncr:1_{6B07BE09-9BB6-4D01-9049-FD276D92D40D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ENTRADA" sheetId="16" r:id="rId1"/>
    <sheet name="BANCO_DE_DADOS" sheetId="1" r:id="rId2"/>
  </sheets>
  <definedNames>
    <definedName name="_FilterDatabase" localSheetId="1" hidden="1">BANCO_DE_DADOS!$B$1:$F$5057</definedName>
    <definedName name="_xlnm._FilterDatabase" localSheetId="1" hidden="1">BANCO_DE_DADOS!$A$1:$H$1</definedName>
    <definedName name="A">BANCO_DE_DADOS!$C$1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4" i="16" l="1"/>
  <c r="W4" i="16"/>
  <c r="V4" i="16"/>
  <c r="U2" i="16"/>
  <c r="AB4" i="16" l="1"/>
  <c r="AA4" i="16"/>
  <c r="Z4" i="16"/>
  <c r="Y4" i="16"/>
  <c r="AB2" i="16"/>
  <c r="AA2" i="16"/>
  <c r="Z2" i="16"/>
  <c r="Y2" i="16"/>
  <c r="X2" i="16"/>
  <c r="W2" i="16"/>
  <c r="V2" i="16"/>
</calcChain>
</file>

<file path=xl/sharedStrings.xml><?xml version="1.0" encoding="utf-8"?>
<sst xmlns="http://schemas.openxmlformats.org/spreadsheetml/2006/main" count="50" uniqueCount="27">
  <si>
    <t>DESCRIÇÃO</t>
  </si>
  <si>
    <t>PREÇO DE VENDA</t>
  </si>
  <si>
    <t xml:space="preserve"> </t>
  </si>
  <si>
    <t>PREÇO DE CUSTO</t>
  </si>
  <si>
    <t>l</t>
  </si>
  <si>
    <t>COD. PROD.</t>
  </si>
  <si>
    <t>COR</t>
  </si>
  <si>
    <t>QUANTIDADE</t>
  </si>
  <si>
    <t>COD. PROD:</t>
  </si>
  <si>
    <t>COR:</t>
  </si>
  <si>
    <t>QUANTIDADE:</t>
  </si>
  <si>
    <t>PREÇO DE CUSTO:</t>
  </si>
  <si>
    <t>PREÇO DE VENDA:</t>
  </si>
  <si>
    <t>DATA:</t>
  </si>
  <si>
    <t>DATA ULTIMA ENTRADA</t>
  </si>
  <si>
    <t>OBS:</t>
  </si>
  <si>
    <t>NOVO</t>
  </si>
  <si>
    <t>SALVAR</t>
  </si>
  <si>
    <t>CONSULTAR</t>
  </si>
  <si>
    <t>LIMPAR</t>
  </si>
  <si>
    <t>OBS</t>
  </si>
  <si>
    <t>DESCRIÇÃO:</t>
  </si>
  <si>
    <t>branco</t>
  </si>
  <si>
    <t>tinta de parede</t>
  </si>
  <si>
    <t>entrou hoje</t>
  </si>
  <si>
    <t>CONSULTA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</si>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</sst>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&quot;R$&quot;\ #,##0.00"/>
  </numFmts>
  <fonts count="2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6"/>
      <color theme="1"/>
      <name val="Arial Black"/>
      <family val="2"/>
    </font>
    <font>
      <u/>
      <sz val="11"/>
      <color theme="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3">
    <xf numFmtId="0" fontId="0" fillId="0" borderId="0"/>
    <xf numFmtId="0" fontId="4" fillId="0" borderId="0" applyNumberFormat="0" applyFill="0" applyBorder="0" applyAlignment="0" applyProtection="0"/>
    <xf numFmtId="0" fontId="5" fillId="0" borderId="1" applyNumberFormat="0" applyFill="0" applyAlignment="0" applyProtection="0"/>
    <xf numFmtId="0" fontId="6" fillId="0" borderId="2" applyNumberFormat="0" applyFill="0" applyAlignment="0" applyProtection="0"/>
    <xf numFmtId="0" fontId="7" fillId="0" borderId="3" applyNumberFormat="0" applyFill="0" applyAlignment="0" applyProtection="0"/>
    <xf numFmtId="0" fontId="7" fillId="0" borderId="0" applyNumberFormat="0" applyFill="0" applyBorder="0" applyAlignment="0" applyProtection="0"/>
    <xf numFmtId="0" fontId="8" fillId="2" borderId="0" applyNumberFormat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4" applyNumberFormat="0" applyAlignment="0" applyProtection="0"/>
    <xf numFmtId="0" fontId="12" fillId="6" borderId="5" applyNumberFormat="0" applyAlignment="0" applyProtection="0"/>
    <xf numFmtId="0" fontId="13" fillId="6" borderId="4" applyNumberFormat="0" applyAlignment="0" applyProtection="0"/>
    <xf numFmtId="0" fontId="14" fillId="0" borderId="6" applyNumberFormat="0" applyFill="0" applyAlignment="0" applyProtection="0"/>
    <xf numFmtId="0" fontId="15" fillId="7" borderId="7" applyNumberFormat="0" applyAlignment="0" applyProtection="0"/>
    <xf numFmtId="0" fontId="16" fillId="0" borderId="0" applyNumberFormat="0" applyFill="0" applyBorder="0" applyAlignment="0" applyProtection="0"/>
    <xf numFmtId="0" fontId="2" fillId="8" borderId="8" applyNumberFormat="0" applyFont="0" applyAlignment="0" applyProtection="0"/>
    <xf numFmtId="0" fontId="17" fillId="0" borderId="0" applyNumberFormat="0" applyFill="0" applyBorder="0" applyAlignment="0" applyProtection="0"/>
    <xf numFmtId="0" fontId="18" fillId="0" borderId="9" applyNumberFormat="0" applyFill="0" applyAlignment="0" applyProtection="0"/>
    <xf numFmtId="0" fontId="19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19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19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19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19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19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44" fontId="2" fillId="0" borderId="0" applyFont="0" applyFill="0" applyBorder="0" applyAlignment="0" applyProtection="0"/>
  </cellStyleXfs>
  <cellXfs count="41">
    <xf numFmtId="0" fontId="0" fillId="0" borderId="0" xfId="0"/>
    <xf numFmtId="49" fontId="0" fillId="0" borderId="0" xfId="0" applyNumberFormat="1"/>
    <xf numFmtId="49" fontId="0" fillId="0" borderId="0" xfId="0" applyNumberFormat="1" applyAlignment="1">
      <alignment horizontal="left"/>
    </xf>
    <xf numFmtId="44" fontId="0" fillId="0" borderId="0" xfId="0" applyNumberFormat="1"/>
    <xf numFmtId="0" fontId="0" fillId="0" borderId="0" xfId="0" applyAlignment="1">
      <alignment horizontal="left"/>
    </xf>
    <xf numFmtId="44" fontId="0" fillId="0" borderId="0" xfId="0" applyNumberFormat="1" applyAlignment="1">
      <alignment horizontal="center" vertical="center"/>
    </xf>
    <xf numFmtId="44" fontId="0" fillId="0" borderId="0" xfId="0" applyNumberFormat="1" applyAlignment="1">
      <alignment horizontal="center"/>
    </xf>
    <xf numFmtId="0" fontId="0" fillId="33" borderId="0" xfId="0" applyFill="1"/>
    <xf numFmtId="0" fontId="0" fillId="33" borderId="10" xfId="0" applyFill="1" applyBorder="1"/>
    <xf numFmtId="0" fontId="0" fillId="33" borderId="11" xfId="0" applyFill="1" applyBorder="1"/>
    <xf numFmtId="0" fontId="0" fillId="33" borderId="12" xfId="0" applyFill="1" applyBorder="1"/>
    <xf numFmtId="0" fontId="0" fillId="33" borderId="13" xfId="0" applyFill="1" applyBorder="1"/>
    <xf numFmtId="0" fontId="0" fillId="33" borderId="14" xfId="0" applyFill="1" applyBorder="1"/>
    <xf numFmtId="0" fontId="0" fillId="33" borderId="15" xfId="0" applyFill="1" applyBorder="1"/>
    <xf numFmtId="0" fontId="0" fillId="33" borderId="16" xfId="0" applyFill="1" applyBorder="1"/>
    <xf numFmtId="0" fontId="0" fillId="33" borderId="17" xfId="0" applyFill="1" applyBorder="1"/>
    <xf numFmtId="0" fontId="0" fillId="33" borderId="0" xfId="0" applyFill="1" applyAlignment="1">
      <alignment horizontal="right"/>
    </xf>
    <xf numFmtId="44" fontId="0" fillId="33" borderId="0" xfId="0" applyNumberFormat="1" applyFill="1"/>
    <xf numFmtId="0" fontId="21" fillId="33" borderId="0" xfId="0" applyFont="1" applyFill="1"/>
    <xf numFmtId="14" fontId="0" fillId="0" borderId="0" xfId="0" applyNumberFormat="1"/>
    <xf numFmtId="14" fontId="3" fillId="0" borderId="0" xfId="0" applyNumberFormat="1" applyFont="1"/>
    <xf numFmtId="0" fontId="0" fillId="33" borderId="11" xfId="0" applyFill="1" applyBorder="1" applyAlignment="1">
      <alignment horizontal="right"/>
    </xf>
    <xf numFmtId="0" fontId="0" fillId="33" borderId="11" xfId="0" applyFill="1" applyBorder="1" applyAlignment="1">
      <alignment horizontal="center"/>
    </xf>
    <xf numFmtId="0" fontId="0" fillId="33" borderId="19" xfId="0" applyFill="1" applyBorder="1" applyAlignment="1">
      <alignment vertical="top" wrapText="1"/>
    </xf>
    <xf numFmtId="0" fontId="0" fillId="33" borderId="20" xfId="0" applyFill="1" applyBorder="1" applyAlignment="1">
      <alignment vertical="top" wrapText="1"/>
    </xf>
    <xf numFmtId="0" fontId="0" fillId="33" borderId="21" xfId="0" applyFill="1" applyBorder="1" applyAlignment="1">
      <alignment vertical="top" wrapText="1"/>
    </xf>
    <xf numFmtId="0" fontId="0" fillId="33" borderId="22" xfId="0" applyFill="1" applyBorder="1" applyAlignment="1">
      <alignment vertical="top" wrapText="1"/>
    </xf>
    <xf numFmtId="0" fontId="0" fillId="33" borderId="18" xfId="0" applyFill="1" applyBorder="1" applyAlignment="1">
      <alignment vertical="top" wrapText="1"/>
    </xf>
    <xf numFmtId="0" fontId="0" fillId="33" borderId="23" xfId="0" applyFill="1" applyBorder="1" applyAlignment="1">
      <alignment vertical="top" wrapText="1"/>
    </xf>
    <xf numFmtId="0" fontId="20" fillId="33" borderId="10" xfId="0" applyFont="1" applyFill="1" applyBorder="1" applyAlignment="1">
      <alignment horizontal="center" vertical="center"/>
    </xf>
    <xf numFmtId="0" fontId="20" fillId="33" borderId="11" xfId="0" applyFont="1" applyFill="1" applyBorder="1" applyAlignment="1">
      <alignment horizontal="center" vertical="center"/>
    </xf>
    <xf numFmtId="0" fontId="20" fillId="33" borderId="12" xfId="0" applyFont="1" applyFill="1" applyBorder="1" applyAlignment="1">
      <alignment horizontal="center" vertical="center"/>
    </xf>
    <xf numFmtId="0" fontId="20" fillId="33" borderId="15" xfId="0" applyFont="1" applyFill="1" applyBorder="1" applyAlignment="1">
      <alignment horizontal="center" vertical="center"/>
    </xf>
    <xf numFmtId="0" fontId="20" fillId="33" borderId="16" xfId="0" applyFont="1" applyFill="1" applyBorder="1" applyAlignment="1">
      <alignment horizontal="center" vertical="center"/>
    </xf>
    <xf numFmtId="0" fontId="20" fillId="33" borderId="17" xfId="0" applyFont="1" applyFill="1" applyBorder="1" applyAlignment="1">
      <alignment horizontal="center" vertical="center"/>
    </xf>
    <xf numFmtId="0" fontId="0" fillId="33" borderId="13" xfId="0" applyFill="1" applyBorder="1" applyAlignment="1">
      <alignment horizontal="right"/>
    </xf>
    <xf numFmtId="0" fontId="0" fillId="33" borderId="0" xfId="0" applyFill="1" applyAlignment="1">
      <alignment horizontal="right"/>
    </xf>
    <xf numFmtId="164" fontId="0" fillId="33" borderId="18" xfId="0" applyNumberFormat="1" applyFill="1" applyBorder="1" applyAlignment="1">
      <alignment horizontal="center"/>
    </xf>
    <xf numFmtId="0" fontId="0" fillId="33" borderId="18" xfId="0" applyFill="1" applyBorder="1" applyAlignment="1">
      <alignment horizontal="left"/>
    </xf>
    <xf numFmtId="0" fontId="0" fillId="33" borderId="18" xfId="0" applyFill="1" applyBorder="1" applyAlignment="1">
      <alignment horizontal="center"/>
    </xf>
    <xf numFmtId="14" fontId="0" fillId="33" borderId="18" xfId="0" applyNumberFormat="1" applyFill="1" applyBorder="1" applyAlignment="1">
      <alignment horizontal="center"/>
    </xf>
  </cellXfs>
  <cellStyles count="43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Moeda 2" xfId="42" xr:uid="{00000000-0005-0000-0000-00001F000000}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457200</xdr:colOff>
      <xdr:row>2</xdr:row>
      <xdr:rowOff>104775</xdr:rowOff>
    </xdr:from>
    <xdr:to>
      <xdr:col>18</xdr:col>
      <xdr:colOff>47625</xdr:colOff>
      <xdr:row>6</xdr:row>
      <xdr:rowOff>95250</xdr:rowOff>
    </xdr:to>
    <xdr:sp macro="[0]!NOVO" textlink="">
      <xdr:nvSpPr>
        <xdr:cNvPr id="13" name="Mais 7">
          <a:extLst>
            <a:ext uri="{FF2B5EF4-FFF2-40B4-BE49-F238E27FC236}">
              <a16:creationId xmlns:a16="http://schemas.microsoft.com/office/drawing/2014/main" id="{A34AFABC-9365-41D9-9EBE-C0C3DA701058}"/>
            </a:ext>
          </a:extLst>
        </xdr:cNvPr>
        <xdr:cNvSpPr/>
      </xdr:nvSpPr>
      <xdr:spPr>
        <a:xfrm>
          <a:off x="10210800" y="495300"/>
          <a:ext cx="809625" cy="771525"/>
        </a:xfrm>
        <a:prstGeom prst="mathPlus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533400</xdr:colOff>
      <xdr:row>8</xdr:row>
      <xdr:rowOff>0</xdr:rowOff>
    </xdr:from>
    <xdr:to>
      <xdr:col>17</xdr:col>
      <xdr:colOff>566738</xdr:colOff>
      <xdr:row>11</xdr:row>
      <xdr:rowOff>23812</xdr:rowOff>
    </xdr:to>
    <xdr:sp macro="[0]!SALVAR" textlink="">
      <xdr:nvSpPr>
        <xdr:cNvPr id="15" name="Seta para a Direita 2">
          <a:extLst>
            <a:ext uri="{FF2B5EF4-FFF2-40B4-BE49-F238E27FC236}">
              <a16:creationId xmlns:a16="http://schemas.microsoft.com/office/drawing/2014/main" id="{BB9DA736-9A2E-485A-9D8A-A1F83057F9AC}"/>
            </a:ext>
          </a:extLst>
        </xdr:cNvPr>
        <xdr:cNvSpPr/>
      </xdr:nvSpPr>
      <xdr:spPr>
        <a:xfrm>
          <a:off x="10287000" y="1552575"/>
          <a:ext cx="642938" cy="595312"/>
        </a:xfrm>
        <a:prstGeom prst="rightArrow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514350</xdr:colOff>
      <xdr:row>13</xdr:row>
      <xdr:rowOff>66675</xdr:rowOff>
    </xdr:from>
    <xdr:to>
      <xdr:col>17</xdr:col>
      <xdr:colOff>552450</xdr:colOff>
      <xdr:row>16</xdr:row>
      <xdr:rowOff>66675</xdr:rowOff>
    </xdr:to>
    <xdr:sp macro="[0]!CONSULTA" textlink="">
      <xdr:nvSpPr>
        <xdr:cNvPr id="17" name="Fluxograma: Vários Documentos 16">
          <a:extLst>
            <a:ext uri="{FF2B5EF4-FFF2-40B4-BE49-F238E27FC236}">
              <a16:creationId xmlns:a16="http://schemas.microsoft.com/office/drawing/2014/main" id="{9655448A-3DEA-4408-86E4-BC6585E3E016}"/>
            </a:ext>
          </a:extLst>
        </xdr:cNvPr>
        <xdr:cNvSpPr/>
      </xdr:nvSpPr>
      <xdr:spPr>
        <a:xfrm>
          <a:off x="10267950" y="2571750"/>
          <a:ext cx="647700" cy="581025"/>
        </a:xfrm>
        <a:prstGeom prst="flowChartMultidocument">
          <a:avLst/>
        </a:prstGeom>
        <a:solidFill>
          <a:srgbClr val="FFC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400050</xdr:colOff>
      <xdr:row>17</xdr:row>
      <xdr:rowOff>57150</xdr:rowOff>
    </xdr:from>
    <xdr:to>
      <xdr:col>18</xdr:col>
      <xdr:colOff>109538</xdr:colOff>
      <xdr:row>21</xdr:row>
      <xdr:rowOff>152400</xdr:rowOff>
    </xdr:to>
    <xdr:sp macro="[0]!LIMPAR" textlink="">
      <xdr:nvSpPr>
        <xdr:cNvPr id="18" name="Multiplicar 3">
          <a:extLst>
            <a:ext uri="{FF2B5EF4-FFF2-40B4-BE49-F238E27FC236}">
              <a16:creationId xmlns:a16="http://schemas.microsoft.com/office/drawing/2014/main" id="{D7F890C5-64B5-4339-A3B8-2A80E3E9FDCD}"/>
            </a:ext>
          </a:extLst>
        </xdr:cNvPr>
        <xdr:cNvSpPr/>
      </xdr:nvSpPr>
      <xdr:spPr>
        <a:xfrm>
          <a:off x="10153650" y="3333750"/>
          <a:ext cx="928688" cy="857250"/>
        </a:xfrm>
        <a:prstGeom prst="mathMultiply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F5E3F-51C9-466D-90C0-543036C588CF}">
  <sheetPr codeName="Planilha2"/>
  <dimension ref="B1:AB20"/>
  <sheetViews>
    <sheetView tabSelected="1" workbookViewId="0">
      <selection activeCell="D6" sqref="D6:F6"/>
    </sheetView>
  </sheetViews>
  <sheetFormatPr defaultRowHeight="15" x14ac:dyDescent="0.25"/>
  <cols>
    <col min="1" max="16384" width="9.140625" style="7"/>
  </cols>
  <sheetData>
    <row r="1" spans="2:28" ht="15.75" thickBot="1" x14ac:dyDescent="0.3">
      <c r="U1" s="7" t="s">
        <v>5</v>
      </c>
      <c r="V1" s="7" t="s">
        <v>0</v>
      </c>
      <c r="W1" s="7" t="s">
        <v>6</v>
      </c>
      <c r="X1" s="7" t="s">
        <v>7</v>
      </c>
      <c r="Y1" s="7" t="s">
        <v>3</v>
      </c>
      <c r="Z1" s="7" t="s">
        <v>1</v>
      </c>
      <c r="AA1" s="7" t="s">
        <v>14</v>
      </c>
      <c r="AB1" s="7" t="s">
        <v>20</v>
      </c>
    </row>
    <row r="2" spans="2:28" x14ac:dyDescent="0.25">
      <c r="B2" s="29" t="s">
        <v>25</v>
      </c>
      <c r="C2" s="30"/>
      <c r="D2" s="30"/>
      <c r="E2" s="30"/>
      <c r="F2" s="30"/>
      <c r="G2" s="30"/>
      <c r="H2" s="30"/>
      <c r="I2" s="30"/>
      <c r="J2" s="30"/>
      <c r="K2" s="30"/>
      <c r="L2" s="30"/>
      <c r="M2" s="30"/>
      <c r="N2" s="30"/>
      <c r="O2" s="30"/>
      <c r="P2" s="31"/>
      <c r="U2" s="7">
        <f>D6</f>
        <v>0</v>
      </c>
      <c r="V2" s="7" t="str">
        <f>D7</f>
        <v/>
      </c>
      <c r="W2" s="7" t="str">
        <f>M7</f>
        <v/>
      </c>
      <c r="X2" s="7" t="str">
        <f>M6</f>
        <v/>
      </c>
      <c r="Y2" s="17" t="str">
        <f>D9</f>
        <v/>
      </c>
      <c r="Z2" s="17" t="str">
        <f>J9</f>
        <v/>
      </c>
      <c r="AA2" s="7" t="str">
        <f>H6</f>
        <v/>
      </c>
      <c r="AB2" s="7" t="str">
        <f>D12</f>
        <v/>
      </c>
    </row>
    <row r="3" spans="2:28" ht="15.75" thickBot="1" x14ac:dyDescent="0.3">
      <c r="B3" s="32"/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34"/>
      <c r="U3" s="7" t="s">
        <v>5</v>
      </c>
      <c r="V3" s="7" t="s">
        <v>0</v>
      </c>
      <c r="W3" s="7" t="s">
        <v>6</v>
      </c>
      <c r="X3" s="7" t="s">
        <v>7</v>
      </c>
      <c r="Y3" s="7" t="s">
        <v>3</v>
      </c>
      <c r="Z3" s="7" t="s">
        <v>1</v>
      </c>
      <c r="AA3" s="7" t="s">
        <v>14</v>
      </c>
      <c r="AB3" s="7" t="s">
        <v>20</v>
      </c>
    </row>
    <row r="4" spans="2:28" ht="15.75" thickBot="1" x14ac:dyDescent="0.3">
      <c r="V4" s="7" t="str">
        <f>IF($U$4="","",VLOOKUP($U$4,BANCO_DE_DADOS!$A:$H,2,FALSE))</f>
        <v/>
      </c>
      <c r="W4" s="7" t="str">
        <f>IF($U$4="","",VLOOKUP($U$4,BANCO_DE_DADOS!$A:$H,3,FALSE))</f>
        <v/>
      </c>
      <c r="X4" s="7" t="str">
        <f>IF($U$4="","",VLOOKUP($U$4,BANCO_DE_DADOS!$A:$H,4,FALSE))</f>
        <v/>
      </c>
      <c r="Y4" s="7" t="str">
        <f>IF($U$4="","",VLOOKUP($U$4,BANCO_DE_DADOS!$A:$H,5,FALSE))</f>
        <v/>
      </c>
      <c r="Z4" s="7" t="str">
        <f>IF($U$4="","",VLOOKUP($U$4,BANCO_DE_DADOS!$A:$H,6,FALSE))</f>
        <v/>
      </c>
      <c r="AA4" s="7" t="str">
        <f>IF($U$4="","",VLOOKUP($U$4,BANCO_DE_DADOS!$A:$H,7,FALSE))</f>
        <v/>
      </c>
      <c r="AB4" s="7" t="str">
        <f>IF($U$4="","",VLOOKUP($U$4,BANCO_DE_DADOS!$A:$H,8,FALSE))</f>
        <v/>
      </c>
    </row>
    <row r="5" spans="2:28" x14ac:dyDescent="0.25">
      <c r="B5" s="8"/>
      <c r="C5" s="9"/>
      <c r="D5" s="9"/>
      <c r="E5" s="9"/>
      <c r="F5" s="21"/>
      <c r="G5" s="21"/>
      <c r="H5" s="22"/>
      <c r="I5" s="22"/>
      <c r="J5" s="22"/>
      <c r="K5" s="9"/>
      <c r="L5" s="9"/>
      <c r="M5" s="9"/>
      <c r="N5" s="9"/>
      <c r="O5" s="9"/>
      <c r="P5" s="10"/>
      <c r="S5" s="7" t="s">
        <v>16</v>
      </c>
    </row>
    <row r="6" spans="2:28" x14ac:dyDescent="0.25">
      <c r="B6" s="35" t="s">
        <v>8</v>
      </c>
      <c r="C6" s="36"/>
      <c r="D6" s="39"/>
      <c r="E6" s="39"/>
      <c r="F6" s="39"/>
      <c r="G6" s="16" t="s">
        <v>13</v>
      </c>
      <c r="H6" s="40" t="s">
        <v>26</v>
      </c>
      <c r="I6" s="39"/>
      <c r="J6" s="39"/>
      <c r="K6" s="36" t="s">
        <v>10</v>
      </c>
      <c r="L6" s="36"/>
      <c r="M6" s="39" t="s">
        <v>26</v>
      </c>
      <c r="N6" s="39"/>
      <c r="P6" s="12"/>
    </row>
    <row r="7" spans="2:28" x14ac:dyDescent="0.25">
      <c r="B7" s="35" t="s">
        <v>21</v>
      </c>
      <c r="C7" s="36"/>
      <c r="D7" s="38" t="s">
        <v>26</v>
      </c>
      <c r="E7" s="38"/>
      <c r="F7" s="38"/>
      <c r="G7" s="38"/>
      <c r="H7" s="38"/>
      <c r="I7" s="38"/>
      <c r="J7" s="38"/>
      <c r="L7" s="16" t="s">
        <v>9</v>
      </c>
      <c r="M7" s="38" t="s">
        <v>26</v>
      </c>
      <c r="N7" s="38"/>
      <c r="O7" s="38"/>
      <c r="P7" s="12"/>
    </row>
    <row r="8" spans="2:28" x14ac:dyDescent="0.25">
      <c r="B8" s="11"/>
      <c r="P8" s="12"/>
    </row>
    <row r="9" spans="2:28" x14ac:dyDescent="0.25">
      <c r="B9" s="35" t="s">
        <v>11</v>
      </c>
      <c r="C9" s="36"/>
      <c r="D9" s="37" t="s">
        <v>26</v>
      </c>
      <c r="E9" s="37"/>
      <c r="F9" s="37"/>
      <c r="H9" s="36" t="s">
        <v>12</v>
      </c>
      <c r="I9" s="36"/>
      <c r="J9" s="37" t="s">
        <v>26</v>
      </c>
      <c r="K9" s="37"/>
      <c r="L9" s="37"/>
      <c r="P9" s="12"/>
    </row>
    <row r="10" spans="2:28" x14ac:dyDescent="0.25">
      <c r="B10" s="11"/>
      <c r="P10" s="12"/>
      <c r="S10" s="7" t="s">
        <v>17</v>
      </c>
    </row>
    <row r="11" spans="2:28" x14ac:dyDescent="0.25">
      <c r="B11" s="11"/>
      <c r="P11" s="12"/>
    </row>
    <row r="12" spans="2:28" x14ac:dyDescent="0.25">
      <c r="B12" s="11"/>
      <c r="C12" s="16" t="s">
        <v>15</v>
      </c>
      <c r="D12" s="23" t="s">
        <v>26</v>
      </c>
      <c r="E12" s="24"/>
      <c r="F12" s="24"/>
      <c r="G12" s="24"/>
      <c r="H12" s="24"/>
      <c r="I12" s="24"/>
      <c r="J12" s="24"/>
      <c r="K12" s="24"/>
      <c r="L12" s="24"/>
      <c r="M12" s="25"/>
      <c r="P12" s="12"/>
    </row>
    <row r="13" spans="2:28" x14ac:dyDescent="0.25">
      <c r="B13" s="11"/>
      <c r="D13" s="26"/>
      <c r="E13" s="27"/>
      <c r="F13" s="27"/>
      <c r="G13" s="27"/>
      <c r="H13" s="27"/>
      <c r="I13" s="27"/>
      <c r="J13" s="27"/>
      <c r="K13" s="27"/>
      <c r="L13" s="27"/>
      <c r="M13" s="28"/>
      <c r="P13" s="12"/>
    </row>
    <row r="14" spans="2:28" ht="15.75" thickBot="1" x14ac:dyDescent="0.3">
      <c r="B14" s="13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5"/>
    </row>
    <row r="15" spans="2:28" x14ac:dyDescent="0.25">
      <c r="B15" s="9"/>
      <c r="S15" s="7" t="s">
        <v>18</v>
      </c>
    </row>
    <row r="20" spans="14:19" x14ac:dyDescent="0.25">
      <c r="N20" s="18"/>
      <c r="S20" s="7" t="s">
        <v>19</v>
      </c>
    </row>
  </sheetData>
  <sheetProtection algorithmName="SHA-512" hashValue="8U+guD+lWPIAhqNMJAKc0WvwxzV40d/dvuch6KuWVtZTbUANB2Cg/yEyPu9kBkWYg5QXgZqAiofzg8Gt76v4TA==" saltValue="rM95g1hrtf55s/q2efWziQ==" spinCount="100000" sheet="1" objects="1" scenarios="1"/>
  <mergeCells count="16">
    <mergeCell ref="F5:G5"/>
    <mergeCell ref="H5:J5"/>
    <mergeCell ref="D12:M13"/>
    <mergeCell ref="B2:P3"/>
    <mergeCell ref="B6:C6"/>
    <mergeCell ref="B7:C7"/>
    <mergeCell ref="K6:L6"/>
    <mergeCell ref="B9:C9"/>
    <mergeCell ref="D9:F9"/>
    <mergeCell ref="H9:I9"/>
    <mergeCell ref="J9:L9"/>
    <mergeCell ref="D7:J7"/>
    <mergeCell ref="D6:F6"/>
    <mergeCell ref="H6:J6"/>
    <mergeCell ref="M6:N6"/>
    <mergeCell ref="M7:O7"/>
  </mergeCells>
  <pageMargins left="0.511811024" right="0.511811024" top="0.78740157499999996" bottom="0.78740157499999996" header="0.31496062000000002" footer="0.31496062000000002"/>
  <pageSetup paperSize="257" orientation="landscape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H5277"/>
  <sheetViews>
    <sheetView zoomScaleNormal="100" workbookViewId="0">
      <pane ySplit="1" topLeftCell="A2" activePane="bottomLeft" state="frozen"/>
      <selection activeCell="B2" sqref="B2"/>
      <selection pane="bottomLeft" activeCell="A2" sqref="A2:H2"/>
    </sheetView>
  </sheetViews>
  <sheetFormatPr defaultRowHeight="15" x14ac:dyDescent="0.25"/>
  <cols>
    <col min="1" max="1" width="21.140625" style="1" customWidth="1"/>
    <col min="2" max="2" width="15.28515625" customWidth="1"/>
    <col min="3" max="3" width="18.42578125" style="2" customWidth="1"/>
    <col min="4" max="4" width="16.28515625" style="2" bestFit="1" customWidth="1"/>
    <col min="5" max="5" width="20.5703125" style="5" bestFit="1" customWidth="1"/>
    <col min="6" max="6" width="21" style="5" bestFit="1" customWidth="1"/>
    <col min="7" max="7" width="22.28515625" style="19" bestFit="1" customWidth="1"/>
    <col min="8" max="8" width="17" customWidth="1"/>
  </cols>
  <sheetData>
    <row r="1" spans="1:8" x14ac:dyDescent="0.25">
      <c r="A1" s="1" t="s">
        <v>5</v>
      </c>
      <c r="B1" t="s">
        <v>0</v>
      </c>
      <c r="C1" s="2" t="s">
        <v>6</v>
      </c>
      <c r="D1" s="2" t="s">
        <v>7</v>
      </c>
      <c r="E1" s="5" t="s">
        <v>3</v>
      </c>
      <c r="F1" s="5" t="s">
        <v>1</v>
      </c>
      <c r="G1" s="19" t="s">
        <v>14</v>
      </c>
      <c r="H1" t="s">
        <v>20</v>
      </c>
    </row>
    <row r="2" spans="1:8" x14ac:dyDescent="0.25">
      <c r="A2" s="1">
        <v>1</v>
      </c>
      <c r="B2" t="s">
        <v>23</v>
      </c>
      <c r="C2" s="2" t="s">
        <v>22</v>
      </c>
      <c r="D2" s="2">
        <v>10</v>
      </c>
      <c r="E2" s="5">
        <v>20</v>
      </c>
      <c r="F2" s="5">
        <v>50</v>
      </c>
      <c r="G2" s="19">
        <v>45756</v>
      </c>
      <c r="H2" t="s">
        <v>24</v>
      </c>
    </row>
    <row r="3" spans="1:8" x14ac:dyDescent="0.25">
      <c r="A3" s="1">
        <v>0</v>
      </c>
      <c r="B3">
        <v>0</v>
      </c>
      <c r="C3" s="2">
        <v>0</v>
      </c>
      <c r="D3" s="2">
        <v>0</v>
      </c>
      <c r="E3" s="5">
        <v>0</v>
      </c>
      <c r="F3" s="5">
        <v>0</v>
      </c>
      <c r="G3" s="19">
        <v>0</v>
      </c>
      <c r="H3">
        <v>0</v>
      </c>
    </row>
    <row r="31" spans="4:5" x14ac:dyDescent="0.25">
      <c r="D31" s="1"/>
      <c r="E31" s="6"/>
    </row>
    <row r="32" spans="4:5" x14ac:dyDescent="0.25">
      <c r="D32" s="1"/>
      <c r="E32" s="6"/>
    </row>
    <row r="273" spans="4:5" x14ac:dyDescent="0.25">
      <c r="D273" s="1"/>
      <c r="E273" s="6"/>
    </row>
    <row r="367" spans="4:5" x14ac:dyDescent="0.25">
      <c r="D367" s="1"/>
      <c r="E367" s="6"/>
    </row>
    <row r="1025" ht="15.75" customHeight="1" x14ac:dyDescent="0.25"/>
    <row r="1044" spans="4:5" x14ac:dyDescent="0.25">
      <c r="D1044" s="1"/>
      <c r="E1044" s="6"/>
    </row>
    <row r="1168" spans="4:5" x14ac:dyDescent="0.25">
      <c r="D1168" s="1"/>
      <c r="E1168" s="6"/>
    </row>
    <row r="1366" spans="7:7" x14ac:dyDescent="0.25">
      <c r="G1366" s="19" t="s">
        <v>2</v>
      </c>
    </row>
    <row r="1538" spans="4:5" x14ac:dyDescent="0.25">
      <c r="D1538" s="1"/>
      <c r="E1538" s="6"/>
    </row>
    <row r="1566" spans="4:4" x14ac:dyDescent="0.25">
      <c r="D1566" s="4"/>
    </row>
    <row r="1628" spans="4:5" x14ac:dyDescent="0.25">
      <c r="D1628" s="1"/>
      <c r="E1628" s="6"/>
    </row>
    <row r="1855" spans="4:5" x14ac:dyDescent="0.25">
      <c r="D1855" s="1"/>
      <c r="E1855" s="6"/>
    </row>
    <row r="1856" spans="4:5" x14ac:dyDescent="0.25">
      <c r="D1856" s="1"/>
      <c r="E1856" s="6"/>
    </row>
    <row r="2004" spans="4:5" x14ac:dyDescent="0.25">
      <c r="D2004" s="1"/>
      <c r="E2004" s="6"/>
    </row>
    <row r="2026" spans="3:5" x14ac:dyDescent="0.25">
      <c r="C2026" s="4"/>
      <c r="D2026" s="1"/>
      <c r="E2026" s="6"/>
    </row>
    <row r="2188" spans="4:5" x14ac:dyDescent="0.25">
      <c r="D2188" s="1"/>
      <c r="E2188" s="6"/>
    </row>
    <row r="2189" spans="4:5" x14ac:dyDescent="0.25">
      <c r="D2189" s="1"/>
      <c r="E2189" s="6"/>
    </row>
    <row r="2339" spans="4:5" x14ac:dyDescent="0.25">
      <c r="D2339" s="1"/>
      <c r="E2339" s="6"/>
    </row>
    <row r="2357" spans="4:5" x14ac:dyDescent="0.25">
      <c r="D2357" s="1"/>
      <c r="E2357" s="6"/>
    </row>
    <row r="2402" spans="3:5" x14ac:dyDescent="0.25">
      <c r="C2402"/>
      <c r="D2402" s="1"/>
      <c r="E2402" s="6"/>
    </row>
    <row r="2590" spans="4:5" x14ac:dyDescent="0.25">
      <c r="D2590" s="1"/>
      <c r="E2590" s="6"/>
    </row>
    <row r="2672" spans="4:5" x14ac:dyDescent="0.25">
      <c r="D2672" s="1"/>
      <c r="E2672" s="6"/>
    </row>
    <row r="3073" spans="4:5" x14ac:dyDescent="0.25">
      <c r="D3073" s="1"/>
      <c r="E3073" s="6"/>
    </row>
    <row r="3284" spans="4:5" x14ac:dyDescent="0.25">
      <c r="D3284" s="1"/>
      <c r="E3284" s="6"/>
    </row>
    <row r="3340" spans="8:8" x14ac:dyDescent="0.25">
      <c r="H3340" t="s">
        <v>2</v>
      </c>
    </row>
    <row r="3381" spans="4:5" x14ac:dyDescent="0.25">
      <c r="D3381" s="1"/>
      <c r="E3381" s="6"/>
    </row>
    <row r="3382" spans="4:5" x14ac:dyDescent="0.25">
      <c r="D3382" s="1"/>
      <c r="E3382" s="6"/>
    </row>
    <row r="3555" spans="4:5" x14ac:dyDescent="0.25">
      <c r="D3555" s="1"/>
      <c r="E3555" s="6"/>
    </row>
    <row r="3556" spans="4:5" x14ac:dyDescent="0.25">
      <c r="D3556" s="1"/>
      <c r="E3556" s="6"/>
    </row>
    <row r="3557" spans="4:5" x14ac:dyDescent="0.25">
      <c r="D3557" s="1"/>
      <c r="E3557" s="6"/>
    </row>
    <row r="3558" spans="4:5" x14ac:dyDescent="0.25">
      <c r="D3558" s="1"/>
      <c r="E3558" s="6"/>
    </row>
    <row r="3559" spans="4:5" x14ac:dyDescent="0.25">
      <c r="D3559" s="1"/>
      <c r="E3559" s="6"/>
    </row>
    <row r="3579" spans="4:5" x14ac:dyDescent="0.25">
      <c r="D3579" s="1"/>
      <c r="E3579" s="6"/>
    </row>
    <row r="3611" spans="4:5" x14ac:dyDescent="0.25">
      <c r="D3611" s="1"/>
      <c r="E3611" s="6"/>
    </row>
    <row r="3934" spans="3:5" x14ac:dyDescent="0.25">
      <c r="C3934"/>
      <c r="D3934" s="1"/>
      <c r="E3934" s="6"/>
    </row>
    <row r="3935" spans="3:5" x14ac:dyDescent="0.25">
      <c r="D3935" s="1"/>
      <c r="E3935" s="6"/>
    </row>
    <row r="3936" spans="3:5" x14ac:dyDescent="0.25">
      <c r="C3936"/>
      <c r="D3936" s="1"/>
      <c r="E3936" s="6"/>
    </row>
    <row r="3937" spans="3:5" x14ac:dyDescent="0.25">
      <c r="C3937" s="4"/>
      <c r="D3937" s="1"/>
      <c r="E3937" s="6"/>
    </row>
    <row r="4129" spans="3:5" x14ac:dyDescent="0.25">
      <c r="C4129" s="4"/>
      <c r="D4129"/>
      <c r="E4129" s="6"/>
    </row>
    <row r="4133" spans="3:5" x14ac:dyDescent="0.25">
      <c r="C4133" s="4"/>
      <c r="D4133" s="1"/>
      <c r="E4133" s="6"/>
    </row>
    <row r="4504" spans="3:3" x14ac:dyDescent="0.25">
      <c r="C4504" s="4"/>
    </row>
    <row r="4566" spans="8:8" x14ac:dyDescent="0.25">
      <c r="H4566" s="3"/>
    </row>
    <row r="4694" spans="4:5" x14ac:dyDescent="0.25">
      <c r="D4694" s="1"/>
      <c r="E4694" s="6"/>
    </row>
    <row r="4746" spans="8:8" x14ac:dyDescent="0.25">
      <c r="H4746" t="s">
        <v>4</v>
      </c>
    </row>
    <row r="4769" spans="3:7" x14ac:dyDescent="0.25">
      <c r="G4769" s="20"/>
    </row>
    <row r="4782" spans="3:7" x14ac:dyDescent="0.25">
      <c r="C4782"/>
      <c r="D4782" s="1"/>
      <c r="E4782" s="6"/>
    </row>
    <row r="4783" spans="3:7" x14ac:dyDescent="0.25">
      <c r="C4783"/>
      <c r="D4783" s="1"/>
      <c r="E4783" s="6"/>
    </row>
    <row r="4804" spans="4:5" x14ac:dyDescent="0.25">
      <c r="D4804" s="1"/>
      <c r="E4804" s="6"/>
    </row>
    <row r="5123" spans="4:5" x14ac:dyDescent="0.25">
      <c r="D5123" s="1"/>
      <c r="E5123" s="6"/>
    </row>
    <row r="5124" spans="4:5" x14ac:dyDescent="0.25">
      <c r="D5124" s="1"/>
      <c r="E5124" s="6"/>
    </row>
    <row r="5125" spans="4:5" x14ac:dyDescent="0.25">
      <c r="D5125" s="1"/>
      <c r="E5125" s="6"/>
    </row>
    <row r="5126" spans="4:5" x14ac:dyDescent="0.25">
      <c r="D5126" s="1"/>
      <c r="E5126" s="6"/>
    </row>
    <row r="5127" spans="4:5" x14ac:dyDescent="0.25">
      <c r="D5127" s="1"/>
      <c r="E5127" s="6"/>
    </row>
    <row r="5128" spans="4:5" x14ac:dyDescent="0.25">
      <c r="D5128" s="1"/>
      <c r="E5128" s="6"/>
    </row>
    <row r="5129" spans="4:5" x14ac:dyDescent="0.25">
      <c r="D5129" s="1"/>
      <c r="E5129" s="6"/>
    </row>
    <row r="5130" spans="4:5" x14ac:dyDescent="0.25">
      <c r="D5130" s="1"/>
      <c r="E5130" s="6"/>
    </row>
    <row r="5131" spans="4:5" x14ac:dyDescent="0.25">
      <c r="D5131" s="1"/>
      <c r="E5131" s="6"/>
    </row>
    <row r="5132" spans="4:5" x14ac:dyDescent="0.25">
      <c r="D5132" s="1"/>
      <c r="E5132" s="6"/>
    </row>
    <row r="5133" spans="4:5" x14ac:dyDescent="0.25">
      <c r="D5133" s="1"/>
      <c r="E5133" s="6"/>
    </row>
    <row r="5134" spans="4:5" x14ac:dyDescent="0.25">
      <c r="D5134" s="1"/>
      <c r="E5134" s="6"/>
    </row>
    <row r="5135" spans="4:5" x14ac:dyDescent="0.25">
      <c r="D5135" s="1"/>
      <c r="E5135" s="6"/>
    </row>
    <row r="5136" spans="4:5" x14ac:dyDescent="0.25">
      <c r="D5136" s="1"/>
      <c r="E5136" s="6"/>
    </row>
    <row r="5137" spans="3:5" x14ac:dyDescent="0.25">
      <c r="D5137" s="1"/>
      <c r="E5137" s="6"/>
    </row>
    <row r="5138" spans="3:5" x14ac:dyDescent="0.25">
      <c r="D5138" s="1"/>
      <c r="E5138" s="6"/>
    </row>
    <row r="5139" spans="3:5" x14ac:dyDescent="0.25">
      <c r="D5139" s="1"/>
      <c r="E5139" s="6"/>
    </row>
    <row r="5140" spans="3:5" x14ac:dyDescent="0.25">
      <c r="D5140" s="1"/>
      <c r="E5140" s="6"/>
    </row>
    <row r="5141" spans="3:5" x14ac:dyDescent="0.25">
      <c r="D5141" s="1"/>
      <c r="E5141" s="6"/>
    </row>
    <row r="5142" spans="3:5" x14ac:dyDescent="0.25">
      <c r="D5142" s="1"/>
      <c r="E5142" s="6"/>
    </row>
    <row r="5143" spans="3:5" x14ac:dyDescent="0.25">
      <c r="D5143" s="1"/>
      <c r="E5143" s="6"/>
    </row>
    <row r="5144" spans="3:5" x14ac:dyDescent="0.25">
      <c r="D5144" s="1"/>
      <c r="E5144" s="6"/>
    </row>
    <row r="5145" spans="3:5" x14ac:dyDescent="0.25">
      <c r="D5145" s="1"/>
      <c r="E5145" s="6"/>
    </row>
    <row r="5146" spans="3:5" x14ac:dyDescent="0.25">
      <c r="D5146" s="1"/>
      <c r="E5146" s="6"/>
    </row>
    <row r="5147" spans="3:5" x14ac:dyDescent="0.25">
      <c r="D5147" s="1"/>
      <c r="E5147" s="6"/>
    </row>
    <row r="5148" spans="3:5" x14ac:dyDescent="0.25">
      <c r="D5148" s="1"/>
      <c r="E5148" s="6"/>
    </row>
    <row r="5149" spans="3:5" x14ac:dyDescent="0.25">
      <c r="D5149" s="1"/>
      <c r="E5149" s="6"/>
    </row>
    <row r="5150" spans="3:5" x14ac:dyDescent="0.25">
      <c r="D5150" s="1"/>
      <c r="E5150" s="6"/>
    </row>
    <row r="5151" spans="3:5" x14ac:dyDescent="0.25">
      <c r="C5151" s="1"/>
      <c r="D5151" s="1"/>
      <c r="E5151" s="6"/>
    </row>
    <row r="5152" spans="3:5" x14ac:dyDescent="0.25">
      <c r="D5152" s="1"/>
      <c r="E5152" s="6"/>
    </row>
    <row r="5153" spans="3:5" x14ac:dyDescent="0.25">
      <c r="D5153" s="1"/>
      <c r="E5153" s="6"/>
    </row>
    <row r="5154" spans="3:5" x14ac:dyDescent="0.25">
      <c r="D5154" s="1"/>
      <c r="E5154" s="6"/>
    </row>
    <row r="5155" spans="3:5" x14ac:dyDescent="0.25">
      <c r="D5155" s="1"/>
      <c r="E5155" s="6"/>
    </row>
    <row r="5156" spans="3:5" x14ac:dyDescent="0.25">
      <c r="D5156" s="1"/>
      <c r="E5156" s="6"/>
    </row>
    <row r="5157" spans="3:5" x14ac:dyDescent="0.25">
      <c r="D5157" s="1"/>
      <c r="E5157" s="6"/>
    </row>
    <row r="5158" spans="3:5" x14ac:dyDescent="0.25">
      <c r="D5158" s="1"/>
      <c r="E5158" s="6"/>
    </row>
    <row r="5159" spans="3:5" x14ac:dyDescent="0.25">
      <c r="D5159" s="1"/>
      <c r="E5159" s="6"/>
    </row>
    <row r="5160" spans="3:5" x14ac:dyDescent="0.25">
      <c r="D5160" s="1"/>
      <c r="E5160" s="6"/>
    </row>
    <row r="5161" spans="3:5" x14ac:dyDescent="0.25">
      <c r="D5161" s="1"/>
      <c r="E5161" s="6"/>
    </row>
    <row r="5162" spans="3:5" x14ac:dyDescent="0.25">
      <c r="D5162" s="1"/>
      <c r="E5162" s="6"/>
    </row>
    <row r="5163" spans="3:5" x14ac:dyDescent="0.25">
      <c r="C5163" s="4"/>
      <c r="D5163" s="1"/>
      <c r="E5163" s="6"/>
    </row>
    <row r="5164" spans="3:5" x14ac:dyDescent="0.25">
      <c r="D5164" s="1"/>
      <c r="E5164" s="6"/>
    </row>
    <row r="5165" spans="3:5" x14ac:dyDescent="0.25">
      <c r="D5165" s="1"/>
      <c r="E5165" s="6"/>
    </row>
    <row r="5166" spans="3:5" x14ac:dyDescent="0.25">
      <c r="D5166" s="1"/>
      <c r="E5166" s="6"/>
    </row>
    <row r="5167" spans="3:5" x14ac:dyDescent="0.25">
      <c r="D5167" s="1"/>
      <c r="E5167" s="6"/>
    </row>
    <row r="5168" spans="3:5" x14ac:dyDescent="0.25">
      <c r="D5168" s="1"/>
      <c r="E5168" s="6"/>
    </row>
    <row r="5169" spans="4:5" x14ac:dyDescent="0.25">
      <c r="D5169" s="1"/>
      <c r="E5169" s="6"/>
    </row>
    <row r="5170" spans="4:5" x14ac:dyDescent="0.25">
      <c r="D5170" s="1"/>
      <c r="E5170" s="6"/>
    </row>
    <row r="5171" spans="4:5" x14ac:dyDescent="0.25">
      <c r="D5171" s="1"/>
      <c r="E5171" s="6"/>
    </row>
    <row r="5172" spans="4:5" x14ac:dyDescent="0.25">
      <c r="D5172" s="1"/>
      <c r="E5172" s="6"/>
    </row>
    <row r="5173" spans="4:5" x14ac:dyDescent="0.25">
      <c r="D5173" s="1"/>
      <c r="E5173" s="6"/>
    </row>
    <row r="5174" spans="4:5" x14ac:dyDescent="0.25">
      <c r="D5174" s="1"/>
      <c r="E5174" s="6"/>
    </row>
    <row r="5175" spans="4:5" x14ac:dyDescent="0.25">
      <c r="D5175" s="1"/>
      <c r="E5175" s="6"/>
    </row>
    <row r="5176" spans="4:5" x14ac:dyDescent="0.25">
      <c r="D5176" s="1"/>
      <c r="E5176" s="6"/>
    </row>
    <row r="5177" spans="4:5" x14ac:dyDescent="0.25">
      <c r="D5177" s="1"/>
      <c r="E5177" s="6"/>
    </row>
    <row r="5178" spans="4:5" x14ac:dyDescent="0.25">
      <c r="D5178" s="1"/>
      <c r="E5178" s="6"/>
    </row>
    <row r="5179" spans="4:5" x14ac:dyDescent="0.25">
      <c r="D5179" s="1"/>
      <c r="E5179" s="6"/>
    </row>
    <row r="5180" spans="4:5" x14ac:dyDescent="0.25">
      <c r="D5180" s="1"/>
      <c r="E5180" s="6"/>
    </row>
    <row r="5181" spans="4:5" x14ac:dyDescent="0.25">
      <c r="D5181" s="1"/>
      <c r="E5181" s="6"/>
    </row>
    <row r="5182" spans="4:5" x14ac:dyDescent="0.25">
      <c r="D5182" s="1"/>
      <c r="E5182" s="6"/>
    </row>
    <row r="5183" spans="4:5" x14ac:dyDescent="0.25">
      <c r="D5183" s="1"/>
      <c r="E5183" s="6"/>
    </row>
    <row r="5184" spans="4:5" x14ac:dyDescent="0.25">
      <c r="D5184" s="1"/>
      <c r="E5184" s="6"/>
    </row>
    <row r="5185" spans="4:5" x14ac:dyDescent="0.25">
      <c r="D5185" s="1"/>
      <c r="E5185" s="6"/>
    </row>
    <row r="5186" spans="4:5" x14ac:dyDescent="0.25">
      <c r="D5186" s="1"/>
      <c r="E5186" s="6"/>
    </row>
    <row r="5187" spans="4:5" x14ac:dyDescent="0.25">
      <c r="D5187" s="1"/>
      <c r="E5187" s="6"/>
    </row>
    <row r="5188" spans="4:5" x14ac:dyDescent="0.25">
      <c r="D5188" s="1"/>
      <c r="E5188" s="6"/>
    </row>
    <row r="5189" spans="4:5" x14ac:dyDescent="0.25">
      <c r="D5189" s="1"/>
      <c r="E5189" s="6"/>
    </row>
    <row r="5190" spans="4:5" x14ac:dyDescent="0.25">
      <c r="D5190" s="1"/>
      <c r="E5190" s="6"/>
    </row>
    <row r="5191" spans="4:5" x14ac:dyDescent="0.25">
      <c r="D5191" s="1"/>
      <c r="E5191" s="6"/>
    </row>
    <row r="5192" spans="4:5" x14ac:dyDescent="0.25">
      <c r="D5192" s="1"/>
      <c r="E5192" s="6"/>
    </row>
    <row r="5193" spans="4:5" x14ac:dyDescent="0.25">
      <c r="D5193" s="1"/>
      <c r="E5193" s="6"/>
    </row>
    <row r="5194" spans="4:5" x14ac:dyDescent="0.25">
      <c r="D5194" s="1"/>
      <c r="E5194" s="6"/>
    </row>
    <row r="5195" spans="4:5" x14ac:dyDescent="0.25">
      <c r="D5195" s="1"/>
      <c r="E5195" s="6"/>
    </row>
    <row r="5196" spans="4:5" x14ac:dyDescent="0.25">
      <c r="D5196" s="1"/>
      <c r="E5196" s="6"/>
    </row>
    <row r="5197" spans="4:5" x14ac:dyDescent="0.25">
      <c r="D5197" s="1"/>
      <c r="E5197" s="6"/>
    </row>
    <row r="5198" spans="4:5" x14ac:dyDescent="0.25">
      <c r="D5198" s="1"/>
      <c r="E5198" s="6"/>
    </row>
    <row r="5199" spans="4:5" x14ac:dyDescent="0.25">
      <c r="D5199" s="1"/>
      <c r="E5199" s="6"/>
    </row>
    <row r="5200" spans="4:5" x14ac:dyDescent="0.25">
      <c r="D5200" s="1"/>
      <c r="E5200" s="6"/>
    </row>
    <row r="5201" spans="3:5" x14ac:dyDescent="0.25">
      <c r="D5201" s="1"/>
      <c r="E5201" s="6"/>
    </row>
    <row r="5202" spans="3:5" x14ac:dyDescent="0.25">
      <c r="D5202" s="1"/>
      <c r="E5202" s="6"/>
    </row>
    <row r="5203" spans="3:5" x14ac:dyDescent="0.25">
      <c r="D5203" s="1"/>
      <c r="E5203" s="6"/>
    </row>
    <row r="5204" spans="3:5" x14ac:dyDescent="0.25">
      <c r="D5204" s="1"/>
      <c r="E5204" s="6"/>
    </row>
    <row r="5205" spans="3:5" x14ac:dyDescent="0.25">
      <c r="D5205" s="1"/>
      <c r="E5205" s="6"/>
    </row>
    <row r="5206" spans="3:5" x14ac:dyDescent="0.25">
      <c r="D5206" s="1"/>
      <c r="E5206" s="6"/>
    </row>
    <row r="5207" spans="3:5" x14ac:dyDescent="0.25">
      <c r="D5207" s="1"/>
      <c r="E5207" s="6"/>
    </row>
    <row r="5208" spans="3:5" x14ac:dyDescent="0.25">
      <c r="D5208" s="1"/>
      <c r="E5208" s="6"/>
    </row>
    <row r="5209" spans="3:5" x14ac:dyDescent="0.25">
      <c r="D5209" s="1"/>
      <c r="E5209" s="6"/>
    </row>
    <row r="5210" spans="3:5" x14ac:dyDescent="0.25">
      <c r="D5210" s="1"/>
      <c r="E5210" s="6"/>
    </row>
    <row r="5211" spans="3:5" x14ac:dyDescent="0.25">
      <c r="D5211" s="1"/>
      <c r="E5211" s="6"/>
    </row>
    <row r="5212" spans="3:5" x14ac:dyDescent="0.25">
      <c r="C5212" s="1"/>
      <c r="D5212" s="1"/>
      <c r="E5212" s="6"/>
    </row>
    <row r="5213" spans="3:5" x14ac:dyDescent="0.25">
      <c r="D5213" s="1"/>
      <c r="E5213" s="6"/>
    </row>
    <row r="5214" spans="3:5" x14ac:dyDescent="0.25">
      <c r="D5214" s="1"/>
      <c r="E5214" s="6"/>
    </row>
    <row r="5215" spans="3:5" x14ac:dyDescent="0.25">
      <c r="D5215" s="1"/>
      <c r="E5215" s="6"/>
    </row>
    <row r="5216" spans="3:5" x14ac:dyDescent="0.25">
      <c r="D5216" s="1"/>
      <c r="E5216" s="6"/>
    </row>
    <row r="5217" spans="4:5" x14ac:dyDescent="0.25">
      <c r="D5217" s="1"/>
      <c r="E5217" s="6"/>
    </row>
    <row r="5218" spans="4:5" x14ac:dyDescent="0.25">
      <c r="D5218" s="1"/>
      <c r="E5218" s="6"/>
    </row>
    <row r="5219" spans="4:5" x14ac:dyDescent="0.25">
      <c r="D5219" s="1"/>
      <c r="E5219" s="6"/>
    </row>
    <row r="5220" spans="4:5" x14ac:dyDescent="0.25">
      <c r="D5220" s="1"/>
      <c r="E5220" s="6"/>
    </row>
    <row r="5221" spans="4:5" x14ac:dyDescent="0.25">
      <c r="D5221" s="1"/>
      <c r="E5221" s="6"/>
    </row>
    <row r="5222" spans="4:5" x14ac:dyDescent="0.25">
      <c r="D5222" s="1"/>
      <c r="E5222" s="6"/>
    </row>
    <row r="5223" spans="4:5" x14ac:dyDescent="0.25">
      <c r="D5223" s="1"/>
      <c r="E5223" s="6"/>
    </row>
    <row r="5224" spans="4:5" x14ac:dyDescent="0.25">
      <c r="D5224" s="1"/>
      <c r="E5224" s="6"/>
    </row>
    <row r="5225" spans="4:5" x14ac:dyDescent="0.25">
      <c r="D5225" s="1"/>
      <c r="E5225" s="6"/>
    </row>
    <row r="5226" spans="4:5" x14ac:dyDescent="0.25">
      <c r="D5226" s="1"/>
      <c r="E5226" s="6"/>
    </row>
    <row r="5227" spans="4:5" x14ac:dyDescent="0.25">
      <c r="D5227" s="1"/>
      <c r="E5227" s="6"/>
    </row>
    <row r="5228" spans="4:5" x14ac:dyDescent="0.25">
      <c r="D5228" s="1"/>
      <c r="E5228" s="6"/>
    </row>
    <row r="5229" spans="4:5" x14ac:dyDescent="0.25">
      <c r="D5229" s="1"/>
      <c r="E5229" s="6"/>
    </row>
    <row r="5230" spans="4:5" x14ac:dyDescent="0.25">
      <c r="D5230" s="1"/>
      <c r="E5230" s="6"/>
    </row>
    <row r="5231" spans="4:5" x14ac:dyDescent="0.25">
      <c r="D5231" s="1"/>
      <c r="E5231" s="6"/>
    </row>
    <row r="5232" spans="4:5" x14ac:dyDescent="0.25">
      <c r="D5232" s="1"/>
      <c r="E5232" s="6"/>
    </row>
    <row r="5233" spans="4:5" x14ac:dyDescent="0.25">
      <c r="D5233" s="1"/>
      <c r="E5233" s="6"/>
    </row>
    <row r="5234" spans="4:5" x14ac:dyDescent="0.25">
      <c r="D5234" s="1"/>
      <c r="E5234" s="6"/>
    </row>
    <row r="5235" spans="4:5" x14ac:dyDescent="0.25">
      <c r="D5235" s="1"/>
      <c r="E5235" s="6"/>
    </row>
    <row r="5236" spans="4:5" x14ac:dyDescent="0.25">
      <c r="D5236" s="1"/>
      <c r="E5236" s="6"/>
    </row>
    <row r="5237" spans="4:5" x14ac:dyDescent="0.25">
      <c r="D5237" s="1"/>
      <c r="E5237" s="6"/>
    </row>
    <row r="5238" spans="4:5" x14ac:dyDescent="0.25">
      <c r="D5238" s="1"/>
      <c r="E5238" s="6"/>
    </row>
    <row r="5239" spans="4:5" x14ac:dyDescent="0.25">
      <c r="D5239" s="1"/>
      <c r="E5239" s="6"/>
    </row>
    <row r="5240" spans="4:5" x14ac:dyDescent="0.25">
      <c r="D5240" s="1"/>
      <c r="E5240" s="6"/>
    </row>
    <row r="5241" spans="4:5" x14ac:dyDescent="0.25">
      <c r="D5241" s="1"/>
      <c r="E5241" s="6"/>
    </row>
    <row r="5242" spans="4:5" x14ac:dyDescent="0.25">
      <c r="D5242" s="1"/>
      <c r="E5242" s="6"/>
    </row>
    <row r="5243" spans="4:5" x14ac:dyDescent="0.25">
      <c r="D5243" s="1"/>
      <c r="E5243" s="6"/>
    </row>
    <row r="5244" spans="4:5" x14ac:dyDescent="0.25">
      <c r="D5244" s="1"/>
      <c r="E5244" s="6"/>
    </row>
    <row r="5245" spans="4:5" x14ac:dyDescent="0.25">
      <c r="D5245" s="1"/>
      <c r="E5245" s="6"/>
    </row>
    <row r="5246" spans="4:5" x14ac:dyDescent="0.25">
      <c r="D5246" s="1"/>
      <c r="E5246" s="6"/>
    </row>
    <row r="5268" spans="3:3" x14ac:dyDescent="0.25">
      <c r="C5268" s="4"/>
    </row>
    <row r="5269" spans="3:3" x14ac:dyDescent="0.25">
      <c r="C5269" s="4"/>
    </row>
    <row r="5270" spans="3:3" x14ac:dyDescent="0.25">
      <c r="C5270" s="4"/>
    </row>
    <row r="5271" spans="3:3" x14ac:dyDescent="0.25">
      <c r="C5271" s="4"/>
    </row>
    <row r="5272" spans="3:3" x14ac:dyDescent="0.25">
      <c r="C5272" s="4"/>
    </row>
    <row r="5273" spans="3:3" x14ac:dyDescent="0.25">
      <c r="C5273"/>
    </row>
    <row r="5274" spans="3:3" x14ac:dyDescent="0.25">
      <c r="C5274"/>
    </row>
    <row r="5275" spans="3:3" x14ac:dyDescent="0.25">
      <c r="C5275" s="4"/>
    </row>
    <row r="5276" spans="3:3" x14ac:dyDescent="0.25">
      <c r="C5276" s="4"/>
    </row>
    <row r="5277" spans="3:3" x14ac:dyDescent="0.25">
      <c r="C5277" s="4"/>
    </row>
  </sheetData>
  <sheetProtection algorithmName="SHA-512" hashValue="1XYHHg9tb7UJ30qWqeASBk3oXM17V985c5/SIWp17WnTpJrVyuS5cGp/QMdjzUeKKGW2IM5fR2V0V1wpzApGQg==" saltValue="LBRjpsr62Q8APeBH+UwacA==" spinCount="100000" sheet="1" objects="1" scenarios="1" autoFilter="0"/>
  <autoFilter ref="A1:H1" xr:uid="{00000000-0001-0000-0000-000000000000}"/>
  <phoneticPr fontId="1" type="noConversion"/>
  <printOptions gridLines="1"/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</vt:i4>
      </vt:variant>
    </vt:vector>
  </HeadingPairs>
  <TitlesOfParts>
    <vt:vector size="3" baseType="lpstr">
      <vt:lpstr>ENTRADA</vt:lpstr>
      <vt:lpstr>BANCO_DE_DADOS</vt:lpstr>
      <vt:lpstr>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TERMINAL 1</dc:creator>
  <cp:lastModifiedBy>TERMINAL 1</cp:lastModifiedBy>
  <cp:lastPrinted>2025-01-08T19:41:07Z</cp:lastPrinted>
  <dcterms:created xsi:type="dcterms:W3CDTF">2024-08-20T13:57:00Z</dcterms:created>
  <dcterms:modified xsi:type="dcterms:W3CDTF">2025-04-09T15:12:13Z</dcterms:modified>
</cp:coreProperties>
</file>