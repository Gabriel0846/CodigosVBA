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G:\Meu Drive\GABRIEL\CodigosVBA\ADEMIR\"/>
    </mc:Choice>
  </mc:AlternateContent>
  <xr:revisionPtr revIDLastSave="0" documentId="13_ncr:1_{60D61BEE-67F9-4ED8-BC83-CD2466866A2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ENTRADA" sheetId="16" r:id="rId1"/>
    <sheet name="BANCO_DE_DADOS" sheetId="17" r:id="rId2"/>
  </sheets>
  <definedNames>
    <definedName name="_xlnm._FilterDatabase" localSheetId="1" hidden="1">BANCO_DE_DADOS!$B$1:$H$1</definedName>
    <definedName name="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4" i="16" l="1"/>
  <c r="AA4" i="16"/>
  <c r="Z4" i="16"/>
  <c r="Y4" i="16"/>
  <c r="X4" i="16"/>
  <c r="W4" i="16"/>
  <c r="V4" i="16"/>
  <c r="U2" i="16" l="1"/>
  <c r="AB2" i="16" l="1"/>
  <c r="AA2" i="16"/>
  <c r="Z2" i="16"/>
  <c r="Y2" i="16"/>
  <c r="X2" i="16"/>
  <c r="W2" i="16"/>
  <c r="V2" i="16"/>
</calcChain>
</file>

<file path=xl/sharedStrings.xml><?xml version="1.0" encoding="utf-8"?>
<sst xmlns="http://schemas.openxmlformats.org/spreadsheetml/2006/main" count="40" uniqueCount="23">
  <si>
    <t>DESCRIÇÃO</t>
  </si>
  <si>
    <t>PREÇO DE VENDA</t>
  </si>
  <si>
    <t>PREÇO DE CUSTO</t>
  </si>
  <si>
    <t>COD. PROD.</t>
  </si>
  <si>
    <t>COR</t>
  </si>
  <si>
    <t>QUANTIDADE</t>
  </si>
  <si>
    <t>COD. PROD:</t>
  </si>
  <si>
    <t>COR:</t>
  </si>
  <si>
    <t>QUANTIDADE:</t>
  </si>
  <si>
    <t>PREÇO DE CUSTO:</t>
  </si>
  <si>
    <t>PREÇO DE VENDA:</t>
  </si>
  <si>
    <t>DATA:</t>
  </si>
  <si>
    <t>DATA ULTIMA ENTRADA</t>
  </si>
  <si>
    <t>OBS:</t>
  </si>
  <si>
    <t>NOVO</t>
  </si>
  <si>
    <t>SALVAR</t>
  </si>
  <si>
    <t>CONSULTAR</t>
  </si>
  <si>
    <t>LIMPAR</t>
  </si>
  <si>
    <t>OBS</t>
  </si>
  <si>
    <t>DESCRIÇÃO:</t>
  </si>
  <si>
    <t>branco</t>
  </si>
  <si>
    <t>tinta de parede</t>
  </si>
  <si>
    <t>entrou hoje a tarde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</si>
</sst>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6"/>
      <color theme="1"/>
      <name val="Arial Black"/>
      <family val="2"/>
    </font>
    <font>
      <u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37">
    <xf numFmtId="0" fontId="0" fillId="0" borderId="0" xfId="0"/>
    <xf numFmtId="49" fontId="0" fillId="0" borderId="0" xfId="0" applyNumberFormat="1" applyAlignment="1">
      <alignment horizontal="left"/>
    </xf>
    <xf numFmtId="44" fontId="0" fillId="0" borderId="0" xfId="0" applyNumberFormat="1" applyAlignment="1">
      <alignment horizontal="center" vertical="center"/>
    </xf>
    <xf numFmtId="0" fontId="0" fillId="33" borderId="0" xfId="0" applyFill="1"/>
    <xf numFmtId="0" fontId="0" fillId="33" borderId="10" xfId="0" applyFill="1" applyBorder="1"/>
    <xf numFmtId="0" fontId="0" fillId="33" borderId="11" xfId="0" applyFill="1" applyBorder="1"/>
    <xf numFmtId="0" fontId="0" fillId="33" borderId="12" xfId="0" applyFill="1" applyBorder="1"/>
    <xf numFmtId="0" fontId="0" fillId="33" borderId="13" xfId="0" applyFill="1" applyBorder="1"/>
    <xf numFmtId="0" fontId="0" fillId="33" borderId="14" xfId="0" applyFill="1" applyBorder="1"/>
    <xf numFmtId="0" fontId="0" fillId="33" borderId="15" xfId="0" applyFill="1" applyBorder="1"/>
    <xf numFmtId="0" fontId="0" fillId="33" borderId="16" xfId="0" applyFill="1" applyBorder="1"/>
    <xf numFmtId="0" fontId="0" fillId="33" borderId="17" xfId="0" applyFill="1" applyBorder="1"/>
    <xf numFmtId="0" fontId="0" fillId="33" borderId="0" xfId="0" applyFill="1" applyAlignment="1">
      <alignment horizontal="right"/>
    </xf>
    <xf numFmtId="44" fontId="0" fillId="33" borderId="0" xfId="0" applyNumberFormat="1" applyFill="1"/>
    <xf numFmtId="0" fontId="19" fillId="33" borderId="0" xfId="0" applyFont="1" applyFill="1"/>
    <xf numFmtId="14" fontId="0" fillId="0" borderId="0" xfId="0" applyNumberFormat="1"/>
    <xf numFmtId="0" fontId="0" fillId="33" borderId="11" xfId="0" applyFill="1" applyBorder="1" applyAlignment="1">
      <alignment horizontal="right"/>
    </xf>
    <xf numFmtId="0" fontId="0" fillId="33" borderId="11" xfId="0" applyFill="1" applyBorder="1" applyAlignment="1">
      <alignment horizontal="center"/>
    </xf>
    <xf numFmtId="0" fontId="18" fillId="33" borderId="10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0" fillId="33" borderId="13" xfId="0" applyFill="1" applyBorder="1" applyAlignment="1">
      <alignment horizontal="right"/>
    </xf>
    <xf numFmtId="0" fontId="0" fillId="33" borderId="0" xfId="0" applyFill="1" applyAlignment="1">
      <alignment horizontal="right"/>
    </xf>
    <xf numFmtId="164" fontId="0" fillId="33" borderId="18" xfId="0" applyNumberFormat="1" applyFill="1" applyBorder="1" applyAlignment="1" applyProtection="1">
      <alignment horizontal="center"/>
      <protection locked="0"/>
    </xf>
    <xf numFmtId="0" fontId="0" fillId="33" borderId="18" xfId="0" applyFill="1" applyBorder="1" applyAlignment="1" applyProtection="1">
      <alignment horizontal="left"/>
      <protection locked="0"/>
    </xf>
    <xf numFmtId="14" fontId="0" fillId="33" borderId="18" xfId="0" applyNumberFormat="1" applyFill="1" applyBorder="1" applyAlignment="1" applyProtection="1">
      <alignment horizontal="center"/>
      <protection locked="0"/>
    </xf>
    <xf numFmtId="0" fontId="0" fillId="33" borderId="18" xfId="0" applyFill="1" applyBorder="1" applyAlignment="1" applyProtection="1">
      <alignment horizontal="center"/>
      <protection locked="0"/>
    </xf>
    <xf numFmtId="0" fontId="0" fillId="33" borderId="19" xfId="0" applyFill="1" applyBorder="1" applyAlignment="1" applyProtection="1">
      <alignment vertical="top" wrapText="1"/>
      <protection locked="0"/>
    </xf>
    <xf numFmtId="0" fontId="0" fillId="33" borderId="20" xfId="0" applyFill="1" applyBorder="1" applyAlignment="1" applyProtection="1">
      <alignment vertical="top" wrapText="1"/>
      <protection locked="0"/>
    </xf>
    <xf numFmtId="0" fontId="0" fillId="33" borderId="21" xfId="0" applyFill="1" applyBorder="1" applyAlignment="1" applyProtection="1">
      <alignment vertical="top" wrapText="1"/>
      <protection locked="0"/>
    </xf>
    <xf numFmtId="0" fontId="0" fillId="33" borderId="22" xfId="0" applyFill="1" applyBorder="1" applyAlignment="1" applyProtection="1">
      <alignment vertical="top" wrapText="1"/>
      <protection locked="0"/>
    </xf>
    <xf numFmtId="0" fontId="0" fillId="33" borderId="18" xfId="0" applyFill="1" applyBorder="1" applyAlignment="1" applyProtection="1">
      <alignment vertical="top" wrapText="1"/>
      <protection locked="0"/>
    </xf>
    <xf numFmtId="0" fontId="0" fillId="33" borderId="23" xfId="0" applyFill="1" applyBorder="1" applyAlignment="1" applyProtection="1">
      <alignment vertical="top" wrapText="1"/>
      <protection locked="0"/>
    </xf>
    <xf numFmtId="49" fontId="0" fillId="0" borderId="0" xfId="0" applyNumberFormat="1" applyFill="1"/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Moeda 2" xfId="42" xr:uid="{00000000-0005-0000-0000-00001F000000}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457200</xdr:colOff>
      <xdr:row>2</xdr:row>
      <xdr:rowOff>104775</xdr:rowOff>
    </xdr:from>
    <xdr:to>
      <xdr:col>18</xdr:col>
      <xdr:colOff>47625</xdr:colOff>
      <xdr:row>6</xdr:row>
      <xdr:rowOff>95250</xdr:rowOff>
    </xdr:to>
    <xdr:sp macro="[0]!NOVO" textlink="">
      <xdr:nvSpPr>
        <xdr:cNvPr id="13" name="Mais 7">
          <a:extLst>
            <a:ext uri="{FF2B5EF4-FFF2-40B4-BE49-F238E27FC236}">
              <a16:creationId xmlns:a16="http://schemas.microsoft.com/office/drawing/2014/main" id="{A34AFABC-9365-41D9-9EBE-C0C3DA701058}"/>
            </a:ext>
          </a:extLst>
        </xdr:cNvPr>
        <xdr:cNvSpPr/>
      </xdr:nvSpPr>
      <xdr:spPr>
        <a:xfrm>
          <a:off x="10210800" y="495300"/>
          <a:ext cx="809625" cy="771525"/>
        </a:xfrm>
        <a:prstGeom prst="mathPlus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533400</xdr:colOff>
      <xdr:row>8</xdr:row>
      <xdr:rowOff>0</xdr:rowOff>
    </xdr:from>
    <xdr:to>
      <xdr:col>17</xdr:col>
      <xdr:colOff>566738</xdr:colOff>
      <xdr:row>11</xdr:row>
      <xdr:rowOff>23812</xdr:rowOff>
    </xdr:to>
    <xdr:sp macro="[0]!SALVAR" textlink="">
      <xdr:nvSpPr>
        <xdr:cNvPr id="15" name="Seta para a Direita 2">
          <a:extLst>
            <a:ext uri="{FF2B5EF4-FFF2-40B4-BE49-F238E27FC236}">
              <a16:creationId xmlns:a16="http://schemas.microsoft.com/office/drawing/2014/main" id="{BB9DA736-9A2E-485A-9D8A-A1F83057F9AC}"/>
            </a:ext>
          </a:extLst>
        </xdr:cNvPr>
        <xdr:cNvSpPr/>
      </xdr:nvSpPr>
      <xdr:spPr>
        <a:xfrm>
          <a:off x="10287000" y="1552575"/>
          <a:ext cx="642938" cy="595312"/>
        </a:xfrm>
        <a:prstGeom prst="rightArrow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514350</xdr:colOff>
      <xdr:row>13</xdr:row>
      <xdr:rowOff>66675</xdr:rowOff>
    </xdr:from>
    <xdr:to>
      <xdr:col>17</xdr:col>
      <xdr:colOff>552450</xdr:colOff>
      <xdr:row>16</xdr:row>
      <xdr:rowOff>66675</xdr:rowOff>
    </xdr:to>
    <xdr:sp macro="[0]!CONSULTA" textlink="">
      <xdr:nvSpPr>
        <xdr:cNvPr id="17" name="Fluxograma: Vários Documentos 16">
          <a:extLst>
            <a:ext uri="{FF2B5EF4-FFF2-40B4-BE49-F238E27FC236}">
              <a16:creationId xmlns:a16="http://schemas.microsoft.com/office/drawing/2014/main" id="{9655448A-3DEA-4408-86E4-BC6585E3E016}"/>
            </a:ext>
          </a:extLst>
        </xdr:cNvPr>
        <xdr:cNvSpPr/>
      </xdr:nvSpPr>
      <xdr:spPr>
        <a:xfrm>
          <a:off x="10267950" y="2571750"/>
          <a:ext cx="647700" cy="581025"/>
        </a:xfrm>
        <a:prstGeom prst="flowChartMultidocument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400050</xdr:colOff>
      <xdr:row>17</xdr:row>
      <xdr:rowOff>57150</xdr:rowOff>
    </xdr:from>
    <xdr:to>
      <xdr:col>18</xdr:col>
      <xdr:colOff>109538</xdr:colOff>
      <xdr:row>21</xdr:row>
      <xdr:rowOff>152400</xdr:rowOff>
    </xdr:to>
    <xdr:sp macro="[0]!LIMPAR_btn" textlink="">
      <xdr:nvSpPr>
        <xdr:cNvPr id="18" name="Multiplicar 3">
          <a:extLst>
            <a:ext uri="{FF2B5EF4-FFF2-40B4-BE49-F238E27FC236}">
              <a16:creationId xmlns:a16="http://schemas.microsoft.com/office/drawing/2014/main" id="{D7F890C5-64B5-4339-A3B8-2A80E3E9FDCD}"/>
            </a:ext>
          </a:extLst>
        </xdr:cNvPr>
        <xdr:cNvSpPr/>
      </xdr:nvSpPr>
      <xdr:spPr>
        <a:xfrm>
          <a:off x="10153650" y="3333750"/>
          <a:ext cx="928688" cy="857250"/>
        </a:xfrm>
        <a:prstGeom prst="mathMultiply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5E3F-51C9-466D-90C0-543036C588CF}">
  <sheetPr codeName="Planilha2"/>
  <dimension ref="B1:AB20"/>
  <sheetViews>
    <sheetView tabSelected="1" workbookViewId="0">
      <selection activeCell="AC29" sqref="AC29"/>
    </sheetView>
  </sheetViews>
  <sheetFormatPr defaultRowHeight="15" x14ac:dyDescent="0.25"/>
  <cols>
    <col min="1" max="19" width="9.140625" style="3"/>
    <col min="20" max="28" width="0" style="3" hidden="1" customWidth="1"/>
    <col min="29" max="16384" width="9.140625" style="3"/>
  </cols>
  <sheetData>
    <row r="1" spans="2:28" ht="15.75" thickBot="1" x14ac:dyDescent="0.3">
      <c r="U1" s="3" t="s">
        <v>3</v>
      </c>
      <c r="V1" s="3" t="s">
        <v>0</v>
      </c>
      <c r="W1" s="3" t="s">
        <v>4</v>
      </c>
      <c r="X1" s="3" t="s">
        <v>5</v>
      </c>
      <c r="Y1" s="3" t="s">
        <v>2</v>
      </c>
      <c r="Z1" s="3" t="s">
        <v>1</v>
      </c>
      <c r="AA1" s="3" t="s">
        <v>12</v>
      </c>
      <c r="AB1" s="3" t="s">
        <v>18</v>
      </c>
    </row>
    <row r="2" spans="2:28" x14ac:dyDescent="0.25">
      <c r="B2" s="18" t="s">
        <v>14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20"/>
      <c r="U2" s="3">
        <f>D6</f>
        <v>0</v>
      </c>
      <c r="V2" s="3">
        <f>D7</f>
        <v>0</v>
      </c>
      <c r="W2" s="3">
        <f>M7</f>
        <v>0</v>
      </c>
      <c r="X2" s="3">
        <f>M6</f>
        <v>0</v>
      </c>
      <c r="Y2" s="13">
        <f>D9</f>
        <v>0</v>
      </c>
      <c r="Z2" s="13">
        <f>J9</f>
        <v>0</v>
      </c>
      <c r="AA2" s="3">
        <f>H6</f>
        <v>0</v>
      </c>
      <c r="AB2" s="3">
        <f>D12</f>
        <v>0</v>
      </c>
    </row>
    <row r="3" spans="2:28" ht="15.75" thickBot="1" x14ac:dyDescent="0.3">
      <c r="B3" s="21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3"/>
      <c r="U3" s="3" t="s">
        <v>3</v>
      </c>
      <c r="V3" s="3" t="s">
        <v>0</v>
      </c>
      <c r="W3" s="3" t="s">
        <v>4</v>
      </c>
      <c r="X3" s="3" t="s">
        <v>5</v>
      </c>
      <c r="Y3" s="3" t="s">
        <v>2</v>
      </c>
      <c r="Z3" s="3" t="s">
        <v>1</v>
      </c>
      <c r="AA3" s="3" t="s">
        <v>12</v>
      </c>
      <c r="AB3" s="3" t="s">
        <v>18</v>
      </c>
    </row>
    <row r="4" spans="2:28" ht="15.75" thickBot="1" x14ac:dyDescent="0.3">
      <c r="U4" s="3">
        <v>1</v>
      </c>
      <c r="V4" s="3" t="str">
        <f>IF($U$4="","",VLOOKUP($U$4,BANCO_DE_DADOS!$A:$H,2,FALSE))</f>
        <v>tinta de parede</v>
      </c>
      <c r="W4" s="3" t="str">
        <f>IF($U$4="","",VLOOKUP($U$4,BANCO_DE_DADOS!$A:$H,3,FALSE))</f>
        <v>branco</v>
      </c>
      <c r="X4" s="3">
        <f>IF($U$4="","",VLOOKUP($U$4,BANCO_DE_DADOS!$A:$H,4,FALSE))</f>
        <v>10</v>
      </c>
      <c r="Y4" s="3">
        <f>IF($U$4="","",VLOOKUP($U$4,BANCO_DE_DADOS!$A:$H,5,FALSE))</f>
        <v>20</v>
      </c>
      <c r="Z4" s="3">
        <f>IF($U$4="","",VLOOKUP($U$4,BANCO_DE_DADOS!$A:$H,6,FALSE))</f>
        <v>50</v>
      </c>
      <c r="AA4" s="3">
        <f>IF($U$4="","",VLOOKUP($U$4,BANCO_DE_DADOS!$A:$H,7,FALSE))</f>
        <v>45756</v>
      </c>
      <c r="AB4" s="3" t="str">
        <f>IF($U$4="","",VLOOKUP($U$4,BANCO_DE_DADOS!$A:$H,8,FALSE))</f>
        <v>entrou hoje a tarde</v>
      </c>
    </row>
    <row r="5" spans="2:28" x14ac:dyDescent="0.25">
      <c r="B5" s="4"/>
      <c r="C5" s="5"/>
      <c r="D5" s="5"/>
      <c r="E5" s="5"/>
      <c r="F5" s="16"/>
      <c r="G5" s="16"/>
      <c r="H5" s="17"/>
      <c r="I5" s="17"/>
      <c r="J5" s="17"/>
      <c r="K5" s="5"/>
      <c r="L5" s="5"/>
      <c r="M5" s="5"/>
      <c r="N5" s="5"/>
      <c r="O5" s="5"/>
      <c r="P5" s="6"/>
      <c r="S5" s="3" t="s">
        <v>14</v>
      </c>
    </row>
    <row r="6" spans="2:28" x14ac:dyDescent="0.25">
      <c r="B6" s="24" t="s">
        <v>6</v>
      </c>
      <c r="C6" s="25"/>
      <c r="D6" s="29"/>
      <c r="E6" s="29"/>
      <c r="F6" s="29"/>
      <c r="G6" s="12" t="s">
        <v>11</v>
      </c>
      <c r="H6" s="28"/>
      <c r="I6" s="29"/>
      <c r="J6" s="29"/>
      <c r="K6" s="25" t="s">
        <v>8</v>
      </c>
      <c r="L6" s="25"/>
      <c r="M6" s="29"/>
      <c r="N6" s="29"/>
      <c r="P6" s="8"/>
    </row>
    <row r="7" spans="2:28" x14ac:dyDescent="0.25">
      <c r="B7" s="24" t="s">
        <v>19</v>
      </c>
      <c r="C7" s="25"/>
      <c r="D7" s="27"/>
      <c r="E7" s="27"/>
      <c r="F7" s="27"/>
      <c r="G7" s="27"/>
      <c r="H7" s="27"/>
      <c r="I7" s="27"/>
      <c r="J7" s="27"/>
      <c r="L7" s="12" t="s">
        <v>7</v>
      </c>
      <c r="M7" s="27"/>
      <c r="N7" s="27"/>
      <c r="O7" s="27"/>
      <c r="P7" s="8"/>
    </row>
    <row r="8" spans="2:28" x14ac:dyDescent="0.25">
      <c r="B8" s="7"/>
      <c r="P8" s="8"/>
    </row>
    <row r="9" spans="2:28" x14ac:dyDescent="0.25">
      <c r="B9" s="24" t="s">
        <v>9</v>
      </c>
      <c r="C9" s="25"/>
      <c r="D9" s="26"/>
      <c r="E9" s="26"/>
      <c r="F9" s="26"/>
      <c r="H9" s="25" t="s">
        <v>10</v>
      </c>
      <c r="I9" s="25"/>
      <c r="J9" s="26"/>
      <c r="K9" s="26"/>
      <c r="L9" s="26"/>
      <c r="P9" s="8"/>
    </row>
    <row r="10" spans="2:28" x14ac:dyDescent="0.25">
      <c r="B10" s="7"/>
      <c r="P10" s="8"/>
      <c r="S10" s="3" t="s">
        <v>15</v>
      </c>
    </row>
    <row r="11" spans="2:28" x14ac:dyDescent="0.25">
      <c r="B11" s="7"/>
      <c r="P11" s="8"/>
    </row>
    <row r="12" spans="2:28" x14ac:dyDescent="0.25">
      <c r="B12" s="7"/>
      <c r="C12" s="12" t="s">
        <v>13</v>
      </c>
      <c r="D12" s="30"/>
      <c r="E12" s="31"/>
      <c r="F12" s="31"/>
      <c r="G12" s="31"/>
      <c r="H12" s="31"/>
      <c r="I12" s="31"/>
      <c r="J12" s="31"/>
      <c r="K12" s="31"/>
      <c r="L12" s="31"/>
      <c r="M12" s="32"/>
      <c r="P12" s="8"/>
    </row>
    <row r="13" spans="2:28" x14ac:dyDescent="0.25">
      <c r="B13" s="7"/>
      <c r="D13" s="33"/>
      <c r="E13" s="34"/>
      <c r="F13" s="34"/>
      <c r="G13" s="34"/>
      <c r="H13" s="34"/>
      <c r="I13" s="34"/>
      <c r="J13" s="34"/>
      <c r="K13" s="34"/>
      <c r="L13" s="34"/>
      <c r="M13" s="35"/>
      <c r="P13" s="8"/>
    </row>
    <row r="14" spans="2:28" ht="15.75" thickBot="1" x14ac:dyDescent="0.3"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1"/>
    </row>
    <row r="15" spans="2:28" x14ac:dyDescent="0.25">
      <c r="B15" s="5"/>
      <c r="S15" s="3" t="s">
        <v>16</v>
      </c>
    </row>
    <row r="20" spans="14:19" x14ac:dyDescent="0.25">
      <c r="N20" s="14"/>
      <c r="S20" s="3" t="s">
        <v>17</v>
      </c>
    </row>
  </sheetData>
  <mergeCells count="16">
    <mergeCell ref="F5:G5"/>
    <mergeCell ref="H5:J5"/>
    <mergeCell ref="D12:M13"/>
    <mergeCell ref="B2:P3"/>
    <mergeCell ref="B6:C6"/>
    <mergeCell ref="B7:C7"/>
    <mergeCell ref="K6:L6"/>
    <mergeCell ref="B9:C9"/>
    <mergeCell ref="D9:F9"/>
    <mergeCell ref="H9:I9"/>
    <mergeCell ref="J9:L9"/>
    <mergeCell ref="D7:J7"/>
    <mergeCell ref="D6:F6"/>
    <mergeCell ref="H6:J6"/>
    <mergeCell ref="M6:N6"/>
    <mergeCell ref="M7:O7"/>
  </mergeCells>
  <pageMargins left="0.511811024" right="0.511811024" top="0.78740157499999996" bottom="0.78740157499999996" header="0.31496062000000002" footer="0.31496062000000002"/>
  <pageSetup paperSize="257" orientation="landscape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D1428-F7E3-45A0-A79D-8AC2F7D50A5B}">
  <sheetPr codeName="Planilha3"/>
  <dimension ref="A1:H2"/>
  <sheetViews>
    <sheetView workbookViewId="0">
      <selection activeCell="A3" sqref="A3:XFD4"/>
    </sheetView>
  </sheetViews>
  <sheetFormatPr defaultRowHeight="15" x14ac:dyDescent="0.25"/>
  <cols>
    <col min="1" max="1" width="9.140625" style="36"/>
    <col min="2" max="2" width="15.28515625" customWidth="1"/>
    <col min="3" max="3" width="18.42578125" customWidth="1"/>
    <col min="4" max="4" width="16.28515625" bestFit="1" customWidth="1"/>
    <col min="5" max="5" width="20.5703125" bestFit="1" customWidth="1"/>
    <col min="6" max="6" width="21" bestFit="1" customWidth="1"/>
    <col min="7" max="7" width="22.28515625" bestFit="1" customWidth="1"/>
    <col min="8" max="8" width="17" customWidth="1"/>
  </cols>
  <sheetData>
    <row r="1" spans="1:8" x14ac:dyDescent="0.25">
      <c r="A1" s="36" t="s">
        <v>3</v>
      </c>
      <c r="B1" t="s">
        <v>0</v>
      </c>
      <c r="C1" s="1" t="s">
        <v>4</v>
      </c>
      <c r="D1" s="1" t="s">
        <v>5</v>
      </c>
      <c r="E1" s="2" t="s">
        <v>2</v>
      </c>
      <c r="F1" s="2" t="s">
        <v>1</v>
      </c>
      <c r="G1" s="15" t="s">
        <v>12</v>
      </c>
      <c r="H1" t="s">
        <v>18</v>
      </c>
    </row>
    <row r="2" spans="1:8" x14ac:dyDescent="0.25">
      <c r="A2" s="36">
        <v>1</v>
      </c>
      <c r="B2" t="s">
        <v>21</v>
      </c>
      <c r="C2" s="1" t="s">
        <v>20</v>
      </c>
      <c r="D2" s="1">
        <v>10</v>
      </c>
      <c r="E2" s="2">
        <v>20</v>
      </c>
      <c r="F2" s="2">
        <v>50</v>
      </c>
      <c r="G2" s="15">
        <v>45756</v>
      </c>
      <c r="H2" t="s">
        <v>22</v>
      </c>
    </row>
  </sheetData>
  <sheetProtection autoFilter="0"/>
  <autoFilter ref="B1:H1" xr:uid="{BE2D1428-F7E3-45A0-A79D-8AC2F7D50A5B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ENTRADA</vt:lpstr>
      <vt:lpstr>BANCO_DE_DADOS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TERMINAL 1</dc:creator>
  <cp:lastModifiedBy>TERMINAL 1</cp:lastModifiedBy>
  <cp:lastPrinted>2025-01-08T19:41:07Z</cp:lastPrinted>
  <dcterms:created xsi:type="dcterms:W3CDTF">2024-08-20T13:57:00Z</dcterms:created>
  <dcterms:modified xsi:type="dcterms:W3CDTF">2025-04-09T15:38:39Z</dcterms:modified>
</cp:coreProperties>
</file>